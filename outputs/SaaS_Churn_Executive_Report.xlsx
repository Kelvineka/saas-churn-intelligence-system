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Kelvin\Desktop\nba\"/>
    </mc:Choice>
  </mc:AlternateContent>
  <xr:revisionPtr revIDLastSave="0" documentId="13_ncr:1_{295DC2BF-BDB8-41E3-9FB1-190A90D2AFAD}" xr6:coauthVersionLast="47" xr6:coauthVersionMax="47" xr10:uidLastSave="{00000000-0000-0000-0000-000000000000}"/>
  <bookViews>
    <workbookView xWindow="-120" yWindow="-120" windowWidth="20730" windowHeight="11310" activeTab="3" xr2:uid="{0D02EDDD-FA59-46A4-9456-7B0C08954930}"/>
  </bookViews>
  <sheets>
    <sheet name="Executive Summary" sheetId="1" r:id="rId1"/>
    <sheet name="Revenue Trends" sheetId="2" r:id="rId2"/>
    <sheet name="Churn Deep Dive" sheetId="3" r:id="rId3"/>
    <sheet name="Predictive Risk List" sheetId="5" r:id="rId4"/>
  </sheets>
  <definedNames>
    <definedName name="ExternalData_1" localSheetId="3" hidden="1">'Predictive Risk List'!$A$3:$S$52</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4" i="5" l="1"/>
  <c r="T9" i="5"/>
  <c r="T5" i="5"/>
  <c r="T6" i="5"/>
  <c r="T7" i="5"/>
  <c r="T8"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I3" i="3"/>
  <c r="I4" i="3"/>
  <c r="I5" i="3"/>
  <c r="I6" i="3"/>
  <c r="I7" i="3"/>
  <c r="I8" i="3"/>
  <c r="C28" i="2"/>
  <c r="D4" i="3"/>
  <c r="D3" i="3"/>
  <c r="D2" i="3"/>
  <c r="D4" i="2"/>
  <c r="D5" i="2"/>
  <c r="D6" i="2"/>
  <c r="D7" i="2"/>
  <c r="D8" i="2"/>
  <c r="D9" i="2"/>
  <c r="D10" i="2"/>
  <c r="D11" i="2"/>
  <c r="D12" i="2"/>
  <c r="D13" i="2"/>
  <c r="D14" i="2"/>
  <c r="D15" i="2"/>
  <c r="D16" i="2"/>
  <c r="D17" i="2"/>
  <c r="D18" i="2"/>
  <c r="D19" i="2"/>
  <c r="D20" i="2"/>
  <c r="D21" i="2"/>
  <c r="D22" i="2"/>
  <c r="D23" i="2"/>
  <c r="D24" i="2"/>
  <c r="D25" i="2"/>
  <c r="D26" i="2"/>
  <c r="D27" i="2"/>
  <c r="D28" i="2"/>
  <c r="D3" i="2"/>
  <c r="C3" i="2"/>
  <c r="C4" i="2"/>
  <c r="C5" i="2"/>
  <c r="C6" i="2"/>
  <c r="C7" i="2"/>
  <c r="C8" i="2"/>
  <c r="C9" i="2"/>
  <c r="C10" i="2"/>
  <c r="C11" i="2"/>
  <c r="C12" i="2"/>
  <c r="C13" i="2"/>
  <c r="C14" i="2"/>
  <c r="C15" i="2"/>
  <c r="C16" i="2"/>
  <c r="C17" i="2"/>
  <c r="C18" i="2"/>
  <c r="C19" i="2"/>
  <c r="C20" i="2"/>
  <c r="C21" i="2"/>
  <c r="C22" i="2"/>
  <c r="C23" i="2"/>
  <c r="C24" i="2"/>
  <c r="C25" i="2"/>
  <c r="C26" i="2"/>
  <c r="C27"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38E5B4-0388-4204-A573-5AF6130279B6}" keepAlive="1" name="Query - high_risk_customers_v2" description="Connection to the 'high_risk_customers_v2' query in the workbook." type="5" refreshedVersion="8" background="1" saveData="1">
    <dbPr connection="Provider=Microsoft.Mashup.OleDb.1;Data Source=$Workbook$;Location=high_risk_customers_v2;Extended Properties=&quot;&quot;" command="SELECT * FROM [high_risk_customers_v2]"/>
  </connection>
</connections>
</file>

<file path=xl/sharedStrings.xml><?xml version="1.0" encoding="utf-8"?>
<sst xmlns="http://schemas.openxmlformats.org/spreadsheetml/2006/main" count="463" uniqueCount="152">
  <si>
    <t>2022-01</t>
  </si>
  <si>
    <t>2022-02</t>
  </si>
  <si>
    <t>2022-03</t>
  </si>
  <si>
    <t>2022-04</t>
  </si>
  <si>
    <t>2022-05</t>
  </si>
  <si>
    <t>2022-06</t>
  </si>
  <si>
    <t>2022-07</t>
  </si>
  <si>
    <t>2022-08</t>
  </si>
  <si>
    <t>2022-09</t>
  </si>
  <si>
    <t>2022-10</t>
  </si>
  <si>
    <t>2022-11</t>
  </si>
  <si>
    <t>2022-12</t>
  </si>
  <si>
    <t>2024-03</t>
  </si>
  <si>
    <t>Total MRR</t>
  </si>
  <si>
    <t>MoM Growth %</t>
  </si>
  <si>
    <t>Event Month</t>
  </si>
  <si>
    <t>Month</t>
  </si>
  <si>
    <t>Annual</t>
  </si>
  <si>
    <t>Monthly</t>
  </si>
  <si>
    <t>Billing Cycle</t>
  </si>
  <si>
    <t>Active</t>
  </si>
  <si>
    <t>Churned</t>
  </si>
  <si>
    <t>Churn Rate %</t>
  </si>
  <si>
    <t>Total</t>
  </si>
  <si>
    <t>2022-13</t>
  </si>
  <si>
    <t>2022-14</t>
  </si>
  <si>
    <t>2022-15</t>
  </si>
  <si>
    <t>2022-16</t>
  </si>
  <si>
    <t>2022-17</t>
  </si>
  <si>
    <t>2022-18</t>
  </si>
  <si>
    <t>2022-19</t>
  </si>
  <si>
    <t>2022-20</t>
  </si>
  <si>
    <t>2022-21</t>
  </si>
  <si>
    <t>2022-22</t>
  </si>
  <si>
    <t>2022-23</t>
  </si>
  <si>
    <t>2022-24</t>
  </si>
  <si>
    <t>2022-25</t>
  </si>
  <si>
    <t>2022-26</t>
  </si>
  <si>
    <t>customer_id</t>
  </si>
  <si>
    <t>signup_date</t>
  </si>
  <si>
    <t>plan_name</t>
  </si>
  <si>
    <t>billing_cycle</t>
  </si>
  <si>
    <t>industry</t>
  </si>
  <si>
    <t>country</t>
  </si>
  <si>
    <t>acquisition_channel</t>
  </si>
  <si>
    <t>company_size</t>
  </si>
  <si>
    <t>monthly_price</t>
  </si>
  <si>
    <t>annual_price</t>
  </si>
  <si>
    <t>contract_value</t>
  </si>
  <si>
    <t>is_churned</t>
  </si>
  <si>
    <t>churn_date</t>
  </si>
  <si>
    <t>tenure_months</t>
  </si>
  <si>
    <t>usage_score</t>
  </si>
  <si>
    <t>support_tickets</t>
  </si>
  <si>
    <t>cancel_reason</t>
  </si>
  <si>
    <t>Churn_Probability</t>
  </si>
  <si>
    <t>CUST0585</t>
  </si>
  <si>
    <t>Business</t>
  </si>
  <si>
    <t>EdTech</t>
  </si>
  <si>
    <t>Germany</t>
  </si>
  <si>
    <t>Direct</t>
  </si>
  <si>
    <t>CUST0056</t>
  </si>
  <si>
    <t>Starter</t>
  </si>
  <si>
    <t>E-Commerce</t>
  </si>
  <si>
    <t>UK</t>
  </si>
  <si>
    <t>CUST0514</t>
  </si>
  <si>
    <t>HealthTech</t>
  </si>
  <si>
    <t>Australia</t>
  </si>
  <si>
    <t>Organic Search</t>
  </si>
  <si>
    <t>CUST0651</t>
  </si>
  <si>
    <t>India</t>
  </si>
  <si>
    <t>Referral</t>
  </si>
  <si>
    <t>CUST0535</t>
  </si>
  <si>
    <t>Professional</t>
  </si>
  <si>
    <t>Social Media</t>
  </si>
  <si>
    <t>CUST0948</t>
  </si>
  <si>
    <t>Paid Ads</t>
  </si>
  <si>
    <t>51-200</t>
  </si>
  <si>
    <t>CUST0653</t>
  </si>
  <si>
    <t>Brazil</t>
  </si>
  <si>
    <t>201-500</t>
  </si>
  <si>
    <t>CUST0684</t>
  </si>
  <si>
    <t>CUST0278</t>
  </si>
  <si>
    <t>Enterprise</t>
  </si>
  <si>
    <t>CUST0048</t>
  </si>
  <si>
    <t>CUST0329</t>
  </si>
  <si>
    <t>Nigeria</t>
  </si>
  <si>
    <t>CUST0850</t>
  </si>
  <si>
    <t>Logistics</t>
  </si>
  <si>
    <t>CUST0911</t>
  </si>
  <si>
    <t>CUST0253</t>
  </si>
  <si>
    <t>HR Tech</t>
  </si>
  <si>
    <t>USA</t>
  </si>
  <si>
    <t>CUST0203</t>
  </si>
  <si>
    <t>CUST0733</t>
  </si>
  <si>
    <t>Media</t>
  </si>
  <si>
    <t>CUST0179</t>
  </si>
  <si>
    <t>CUST0650</t>
  </si>
  <si>
    <t>500+</t>
  </si>
  <si>
    <t>CUST0838</t>
  </si>
  <si>
    <t>CUST0734</t>
  </si>
  <si>
    <t>CUST0751</t>
  </si>
  <si>
    <t>FinTech</t>
  </si>
  <si>
    <t>CUST0638</t>
  </si>
  <si>
    <t>SaaS</t>
  </si>
  <si>
    <t>CUST0688</t>
  </si>
  <si>
    <t>CUST0810</t>
  </si>
  <si>
    <t>Partner</t>
  </si>
  <si>
    <t>CUST0967</t>
  </si>
  <si>
    <t>Canada</t>
  </si>
  <si>
    <t>CUST0754</t>
  </si>
  <si>
    <t>CUST0135</t>
  </si>
  <si>
    <t>CUST0123</t>
  </si>
  <si>
    <t>CUST0248</t>
  </si>
  <si>
    <t>CUST0689</t>
  </si>
  <si>
    <t>CUST0957</t>
  </si>
  <si>
    <t>CUST0170</t>
  </si>
  <si>
    <t>CUST0243</t>
  </si>
  <si>
    <t>CUST0504</t>
  </si>
  <si>
    <t>CUST0494</t>
  </si>
  <si>
    <t>CUST0757</t>
  </si>
  <si>
    <t>CUST0604</t>
  </si>
  <si>
    <t>CUST0121</t>
  </si>
  <si>
    <t>CUST0062</t>
  </si>
  <si>
    <t>CUST0089</t>
  </si>
  <si>
    <t>CUST0167</t>
  </si>
  <si>
    <t>CUST0532</t>
  </si>
  <si>
    <t>CUST0930</t>
  </si>
  <si>
    <t>CUST0895</t>
  </si>
  <si>
    <t>CUST0097</t>
  </si>
  <si>
    <t>CUST0949</t>
  </si>
  <si>
    <t>CUST0832</t>
  </si>
  <si>
    <t>CUST0309</t>
  </si>
  <si>
    <t>CUST0588</t>
  </si>
  <si>
    <t>actual_ticket_count</t>
  </si>
  <si>
    <t>1-10</t>
  </si>
  <si>
    <t>11-50</t>
  </si>
  <si>
    <t/>
  </si>
  <si>
    <t>Cancel Reason</t>
  </si>
  <si>
    <t>Annual Churners</t>
  </si>
  <si>
    <t>% of Annual Churners</t>
  </si>
  <si>
    <t>Too expensive</t>
  </si>
  <si>
    <t>Budget cuts</t>
  </si>
  <si>
    <t>Switched to competitor</t>
  </si>
  <si>
    <t>No longer needed</t>
  </si>
  <si>
    <t>Poor support</t>
  </si>
  <si>
    <t>Usability issues</t>
  </si>
  <si>
    <t>Top Cancel Reasons — Annual Plan Churners</t>
  </si>
  <si>
    <t>60% of annual churners cite price — not product — as their reason for leaving</t>
  </si>
  <si>
    <t>Risk Band</t>
  </si>
  <si>
    <t>At-Risk Customer Intervention List — Prioritised by Churn Probability</t>
  </si>
  <si>
    <t>Active customers only | Critical band = immediate CS outreach this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</si>
</sst>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mmmm\-yy;@"/>
    <numFmt numFmtId="165" formatCode="&quot;$&quot;#,##0"/>
    <numFmt numFmtId="166" formatCode="0.0%"/>
  </numFmts>
  <fonts count="10"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A32D2D"/>
      <name val="Calibri"/>
      <family val="2"/>
      <scheme val="minor"/>
    </font>
    <font>
      <sz val="14"/>
      <color theme="1"/>
      <name val="Calibri"/>
      <family val="2"/>
      <scheme val="minor"/>
    </font>
    <font>
      <b/>
      <sz val="16"/>
      <color rgb="FF0F4C81"/>
      <name val="Arial"/>
      <family val="2"/>
    </font>
    <font>
      <i/>
      <sz val="9"/>
      <color rgb="FF0F4C81"/>
      <name val="Calibri"/>
      <family val="2"/>
      <scheme val="minor"/>
    </font>
    <font>
      <b/>
      <sz val="13"/>
      <color rgb="FF0F4C81"/>
      <name val="Calibri"/>
      <family val="2"/>
      <scheme val="minor"/>
    </font>
    <font>
      <i/>
      <sz val="9"/>
      <color theme="0" tint="-0.499984740745262"/>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rgb="FFFDECEA"/>
        <bgColor indexed="64"/>
      </patternFill>
    </fill>
    <fill>
      <patternFill patternType="solid">
        <fgColor rgb="FFE8F0FE"/>
        <bgColor indexed="64"/>
      </patternFill>
    </fill>
    <fill>
      <patternFill patternType="solid">
        <fgColor rgb="FF0F4C81"/>
        <bgColor indexed="64"/>
      </patternFill>
    </fill>
    <fill>
      <patternFill patternType="solid">
        <fgColor theme="2" tint="-9.9978637043366805E-2"/>
        <bgColor indexed="64"/>
      </patternFill>
    </fill>
    <fill>
      <patternFill patternType="solid">
        <fgColor rgb="FFD6E4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165" fontId="0" fillId="0" borderId="0" xfId="0" applyNumberFormat="1"/>
    <xf numFmtId="9" fontId="0" fillId="0" borderId="0" xfId="1" applyFont="1"/>
    <xf numFmtId="0" fontId="0" fillId="2" borderId="0" xfId="0" applyFill="1"/>
    <xf numFmtId="0" fontId="0" fillId="0" borderId="0" xfId="0" applyAlignment="1">
      <alignment horizontal="center"/>
    </xf>
    <xf numFmtId="165" fontId="0" fillId="0" borderId="0" xfId="0" applyNumberFormat="1" applyAlignment="1">
      <alignment horizontal="center"/>
    </xf>
    <xf numFmtId="10" fontId="0" fillId="0" borderId="0" xfId="0" applyNumberFormat="1" applyAlignment="1">
      <alignment horizontal="center"/>
    </xf>
    <xf numFmtId="164" fontId="0" fillId="0" borderId="0" xfId="0" applyNumberFormat="1" applyAlignment="1">
      <alignment horizontal="left"/>
    </xf>
    <xf numFmtId="14" fontId="0" fillId="0" borderId="0" xfId="0" applyNumberFormat="1"/>
    <xf numFmtId="0" fontId="0" fillId="0" borderId="0" xfId="0" applyNumberFormat="1"/>
    <xf numFmtId="0" fontId="0" fillId="3" borderId="0" xfId="0" applyFill="1"/>
    <xf numFmtId="0" fontId="0" fillId="4" borderId="0" xfId="0" applyFill="1"/>
    <xf numFmtId="0" fontId="6" fillId="0" borderId="0" xfId="0" applyFont="1" applyAlignment="1">
      <alignment horizontal="center"/>
    </xf>
    <xf numFmtId="0" fontId="0" fillId="0" borderId="0" xfId="0" applyAlignment="1">
      <alignment horizontal="center"/>
    </xf>
    <xf numFmtId="0" fontId="0" fillId="7" borderId="0" xfId="0" applyFill="1" applyAlignment="1">
      <alignment horizontal="center"/>
    </xf>
    <xf numFmtId="0" fontId="7" fillId="7" borderId="1" xfId="0" applyFont="1" applyFill="1" applyBorder="1" applyAlignment="1">
      <alignment horizontal="center"/>
    </xf>
    <xf numFmtId="0" fontId="0" fillId="7" borderId="1" xfId="0" applyFill="1" applyBorder="1" applyAlignment="1">
      <alignment horizontal="center"/>
    </xf>
    <xf numFmtId="0" fontId="0" fillId="0" borderId="1" xfId="0" applyBorder="1"/>
    <xf numFmtId="9" fontId="0" fillId="0" borderId="1" xfId="1" applyFont="1" applyBorder="1"/>
    <xf numFmtId="0" fontId="0" fillId="3" borderId="1" xfId="0" applyFill="1" applyBorder="1" applyAlignment="1">
      <alignment horizontal="center"/>
    </xf>
    <xf numFmtId="166" fontId="3" fillId="3" borderId="1" xfId="1" applyNumberFormat="1" applyFont="1" applyFill="1" applyBorder="1" applyAlignment="1">
      <alignment horizontal="center"/>
    </xf>
    <xf numFmtId="0" fontId="0" fillId="4" borderId="1" xfId="0" applyFill="1" applyBorder="1" applyAlignment="1">
      <alignment horizontal="center"/>
    </xf>
    <xf numFmtId="166" fontId="3" fillId="4" borderId="1" xfId="1" applyNumberFormat="1" applyFont="1" applyFill="1" applyBorder="1" applyAlignment="1">
      <alignment horizontal="center"/>
    </xf>
    <xf numFmtId="0" fontId="0" fillId="0" borderId="1" xfId="0" applyBorder="1" applyAlignment="1">
      <alignment horizontal="center"/>
    </xf>
    <xf numFmtId="166" fontId="3" fillId="0" borderId="1" xfId="1" applyNumberFormat="1" applyFont="1" applyBorder="1" applyAlignment="1">
      <alignment horizont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4" fillId="3" borderId="5" xfId="0" applyFont="1" applyFill="1" applyBorder="1"/>
    <xf numFmtId="0" fontId="4" fillId="3" borderId="1" xfId="0" applyFont="1" applyFill="1" applyBorder="1"/>
    <xf numFmtId="9" fontId="4" fillId="3" borderId="6" xfId="0" applyNumberFormat="1" applyFont="1" applyFill="1" applyBorder="1"/>
    <xf numFmtId="0" fontId="0" fillId="0" borderId="5" xfId="0" applyBorder="1"/>
    <xf numFmtId="9" fontId="0" fillId="0" borderId="6" xfId="0" applyNumberFormat="1" applyBorder="1"/>
    <xf numFmtId="0" fontId="0" fillId="6" borderId="5" xfId="0" applyFill="1" applyBorder="1"/>
    <xf numFmtId="0" fontId="0" fillId="6" borderId="1" xfId="0" applyFill="1" applyBorder="1"/>
    <xf numFmtId="9" fontId="0" fillId="6" borderId="6" xfId="0" applyNumberFormat="1" applyFill="1" applyBorder="1"/>
    <xf numFmtId="0" fontId="0" fillId="0" borderId="7" xfId="0" applyBorder="1"/>
    <xf numFmtId="0" fontId="0" fillId="0" borderId="8" xfId="0" applyBorder="1"/>
    <xf numFmtId="9" fontId="0" fillId="0" borderId="9" xfId="0" applyNumberFormat="1" applyBorder="1"/>
    <xf numFmtId="166" fontId="0" fillId="0" borderId="0" xfId="1" applyNumberFormat="1" applyFont="1"/>
    <xf numFmtId="0" fontId="0" fillId="0" borderId="0" xfId="0" applyAlignment="1">
      <alignment horizontal="left"/>
    </xf>
    <xf numFmtId="0" fontId="3" fillId="5" borderId="0" xfId="0" applyNumberFormat="1" applyFont="1" applyFill="1" applyAlignment="1">
      <alignment horizontal="center"/>
    </xf>
    <xf numFmtId="166" fontId="3" fillId="5" borderId="0" xfId="1" applyNumberFormat="1" applyFont="1" applyFill="1" applyAlignment="1">
      <alignment horizontal="center"/>
    </xf>
    <xf numFmtId="0" fontId="3" fillId="5" borderId="0" xfId="0" applyFont="1" applyFill="1" applyAlignment="1">
      <alignment horizontal="center"/>
    </xf>
    <xf numFmtId="0" fontId="8" fillId="0" borderId="0" xfId="0" applyFont="1" applyAlignment="1">
      <alignment horizontal="center"/>
    </xf>
    <xf numFmtId="0" fontId="9" fillId="7" borderId="0" xfId="0" applyFont="1" applyFill="1" applyAlignment="1">
      <alignment horizontal="center"/>
    </xf>
  </cellXfs>
  <cellStyles count="2">
    <cellStyle name="Normal" xfId="0" builtinId="0"/>
    <cellStyle name="Percent" xfId="1" builtinId="5"/>
  </cellStyles>
  <dxfs count="30">
    <dxf>
      <font>
        <b/>
      </font>
      <fill>
        <patternFill patternType="solid">
          <fgColor indexed="64"/>
          <bgColor rgb="FF0F4C81"/>
        </patternFill>
      </fill>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numFmt numFmtId="166" formatCode="0.0%"/>
    </dxf>
    <dxf>
      <font>
        <strike val="0"/>
        <outline val="0"/>
        <shadow val="0"/>
        <u val="none"/>
        <vertAlign val="baseline"/>
        <sz val="14"/>
        <color theme="1"/>
      </font>
      <fill>
        <patternFill patternType="solid">
          <fgColor indexed="64"/>
          <bgColor rgb="FF0F4C81"/>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6" formatCode="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auto="1"/>
        </left>
        <right style="medium">
          <color auto="1"/>
        </right>
        <top style="medium">
          <color auto="1"/>
        </top>
        <bottom style="medium">
          <color auto="1"/>
        </bottom>
        <vertical style="medium">
          <color auto="1"/>
        </vertical>
        <horizontal style="medium">
          <color auto="1"/>
        </horizontal>
      </border>
    </dxf>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4" formatCode="0.00%"/>
      <alignment horizontal="center" vertical="bottom" textRotation="0" wrapText="0" indent="0" justifyLastLine="0" shrinkToFit="0" readingOrder="0"/>
    </dxf>
    <dxf>
      <numFmt numFmtId="164" formatCode="[$-409]mmmm\-yy;@"/>
      <alignment horizontal="left" vertical="bottom" textRotation="0" wrapText="0" indent="0" justifyLastLine="0" shrinkToFit="0" readingOrder="0"/>
    </dxf>
    <dxf>
      <numFmt numFmtId="165"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2" defaultTableStyle="TableStyleMedium2" defaultPivotStyle="PivotStyleLight16">
    <tableStyle name="Table Style 1" pivot="0" count="1" xr9:uid="{737E604A-0EEA-4A57-BE59-61C239913766}">
      <tableStyleElement type="wholeTable" dxfId="14"/>
    </tableStyle>
    <tableStyle name="Table Style 2" pivot="0" count="1" xr9:uid="{DDB988E7-1CE1-4B8A-BEF4-46B05737772F}">
      <tableStyleElement type="wholeTable" dxfId="13"/>
    </tableStyle>
  </tableStyles>
  <colors>
    <mruColors>
      <color rgb="FFD6E4F0"/>
      <color rgb="FF0F4C81"/>
      <color rgb="FFA32D2D"/>
      <color rgb="FFFDECEA"/>
      <color rgb="FFE8F0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MRR grew 13× from Jan 2022 — but renewal churn caused 3 consecutive monthly declines in late 2023</a:t>
            </a:r>
            <a:endParaRPr lang="en-US" b="1">
              <a:latin typeface="Segoe UI" panose="020B0502040204020203" pitchFamily="34" charset="0"/>
              <a:cs typeface="Segoe UI" panose="020B0502040204020203" pitchFamily="34" charset="0"/>
            </a:endParaRPr>
          </a:p>
        </c:rich>
      </c:tx>
      <c:layout>
        <c:manualLayout>
          <c:xMode val="edge"/>
          <c:yMode val="edge"/>
          <c:x val="0.22581135691371912"/>
          <c:y val="4.2060988433228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Trends'!$B$1</c:f>
              <c:strCache>
                <c:ptCount val="1"/>
                <c:pt idx="0">
                  <c:v>Total MRR</c:v>
                </c:pt>
              </c:strCache>
            </c:strRef>
          </c:tx>
          <c:spPr>
            <a:ln w="28575" cap="rnd">
              <a:solidFill>
                <a:schemeClr val="accent1"/>
              </a:solidFill>
              <a:round/>
            </a:ln>
            <a:effectLst/>
          </c:spPr>
          <c:marker>
            <c:symbol val="none"/>
          </c:marker>
          <c:dPt>
            <c:idx val="13"/>
            <c:marker>
              <c:symbol val="circle"/>
              <c:size val="5"/>
              <c:spPr>
                <a:solidFill>
                  <a:srgbClr val="FF0000"/>
                </a:solidFill>
                <a:ln w="9525">
                  <a:solidFill>
                    <a:srgbClr val="FF0000"/>
                  </a:solidFill>
                </a:ln>
                <a:effectLst/>
              </c:spPr>
            </c:marker>
            <c:bubble3D val="0"/>
            <c:extLst>
              <c:ext xmlns:c16="http://schemas.microsoft.com/office/drawing/2014/chart" uri="{C3380CC4-5D6E-409C-BE32-E72D297353CC}">
                <c16:uniqueId val="{00000003-9DE5-41CD-8A46-82D5BC2CFB0B}"/>
              </c:ext>
            </c:extLst>
          </c:dPt>
          <c:dPt>
            <c:idx val="17"/>
            <c:marker>
              <c:symbol val="circle"/>
              <c:size val="5"/>
              <c:spPr>
                <a:solidFill>
                  <a:srgbClr val="FF0000"/>
                </a:solidFill>
                <a:ln w="9525">
                  <a:solidFill>
                    <a:srgbClr val="FF0000"/>
                  </a:solidFill>
                </a:ln>
                <a:effectLst/>
              </c:spPr>
            </c:marker>
            <c:bubble3D val="0"/>
            <c:extLst>
              <c:ext xmlns:c16="http://schemas.microsoft.com/office/drawing/2014/chart" uri="{C3380CC4-5D6E-409C-BE32-E72D297353CC}">
                <c16:uniqueId val="{00000005-9DE5-41CD-8A46-82D5BC2CFB0B}"/>
              </c:ext>
            </c:extLst>
          </c:dPt>
          <c:dPt>
            <c:idx val="22"/>
            <c:marker>
              <c:symbol val="circle"/>
              <c:size val="5"/>
              <c:spPr>
                <a:solidFill>
                  <a:srgbClr val="FF0000"/>
                </a:solidFill>
                <a:ln w="9525">
                  <a:solidFill>
                    <a:srgbClr val="FF0000"/>
                  </a:solidFill>
                </a:ln>
                <a:effectLst/>
              </c:spPr>
            </c:marker>
            <c:bubble3D val="0"/>
            <c:extLst>
              <c:ext xmlns:c16="http://schemas.microsoft.com/office/drawing/2014/chart" uri="{C3380CC4-5D6E-409C-BE32-E72D297353CC}">
                <c16:uniqueId val="{00000006-9DE5-41CD-8A46-82D5BC2CFB0B}"/>
              </c:ext>
            </c:extLst>
          </c:dPt>
          <c:dPt>
            <c:idx val="25"/>
            <c:marker>
              <c:symbol val="circle"/>
              <c:size val="5"/>
              <c:spPr>
                <a:solidFill>
                  <a:srgbClr val="FF0000"/>
                </a:solidFill>
                <a:ln w="9525">
                  <a:solidFill>
                    <a:srgbClr val="FF0000"/>
                  </a:solidFill>
                </a:ln>
                <a:effectLst/>
              </c:spPr>
            </c:marker>
            <c:bubble3D val="0"/>
            <c:extLst>
              <c:ext xmlns:c16="http://schemas.microsoft.com/office/drawing/2014/chart" uri="{C3380CC4-5D6E-409C-BE32-E72D297353CC}">
                <c16:uniqueId val="{00000007-9DE5-41CD-8A46-82D5BC2CFB0B}"/>
              </c:ext>
            </c:extLst>
          </c:dPt>
          <c:dLbls>
            <c:dLbl>
              <c:idx val="0"/>
              <c:layout>
                <c:manualLayout>
                  <c:x val="-1.058201058201059E-2"/>
                  <c:y val="-6.30914826498422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E5-41CD-8A46-82D5BC2CFB0B}"/>
                </c:ext>
              </c:extLst>
            </c:dLbl>
            <c:dLbl>
              <c:idx val="13"/>
              <c:layout>
                <c:manualLayout>
                  <c:x val="-8.8183421516754203E-3"/>
                  <c:y val="5.8885383806519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E5-41CD-8A46-82D5BC2CFB0B}"/>
                </c:ext>
              </c:extLst>
            </c:dLbl>
            <c:dLbl>
              <c:idx val="21"/>
              <c:layout>
                <c:manualLayout>
                  <c:x val="-2.9982363315696647E-2"/>
                  <c:y val="-5.8885383806519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E5-41CD-8A46-82D5BC2CFB0B}"/>
                </c:ext>
              </c:extLst>
            </c:dLbl>
            <c:dLbl>
              <c:idx val="26"/>
              <c:layout>
                <c:manualLayout>
                  <c:x val="-3.5273368606701938E-3"/>
                  <c:y val="-5.0473186119873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E5-41CD-8A46-82D5BC2CFB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'Revenue Trends'!$C$2:$C$28</c:f>
              <c:numCache>
                <c:formatCode>[$-409]mmmm\-yy;@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'Revenue Trends'!$B$2:$B$28</c:f>
              <c:numCache>
                <c:formatCode>"$"#,##0</c:formatCode>
                <c:ptCount val="27"/>
                <c:pt idx="0">
                  <c:v>5910</c:v>
                </c:pt>
                <c:pt idx="1">
                  <c:v>8033</c:v>
                </c:pt>
                <c:pt idx="2">
                  <c:v>13897</c:v>
                </c:pt>
                <c:pt idx="3">
                  <c:v>18649</c:v>
                </c:pt>
                <c:pt idx="4">
                  <c:v>23595</c:v>
                </c:pt>
                <c:pt idx="5">
                  <c:v>28237</c:v>
                </c:pt>
                <c:pt idx="6">
                  <c:v>35715</c:v>
                </c:pt>
                <c:pt idx="7">
                  <c:v>40087</c:v>
                </c:pt>
                <c:pt idx="8">
                  <c:v>44068</c:v>
                </c:pt>
                <c:pt idx="9">
                  <c:v>50374</c:v>
                </c:pt>
                <c:pt idx="10">
                  <c:v>53662</c:v>
                </c:pt>
                <c:pt idx="11">
                  <c:v>60544</c:v>
                </c:pt>
                <c:pt idx="12">
                  <c:v>68452</c:v>
                </c:pt>
                <c:pt idx="13">
                  <c:v>65569</c:v>
                </c:pt>
                <c:pt idx="14">
                  <c:v>73307</c:v>
                </c:pt>
                <c:pt idx="15">
                  <c:v>76669</c:v>
                </c:pt>
                <c:pt idx="16">
                  <c:v>82048</c:v>
                </c:pt>
                <c:pt idx="17">
                  <c:v>80835</c:v>
                </c:pt>
                <c:pt idx="18">
                  <c:v>84829</c:v>
                </c:pt>
                <c:pt idx="19">
                  <c:v>86157</c:v>
                </c:pt>
                <c:pt idx="20">
                  <c:v>87597</c:v>
                </c:pt>
                <c:pt idx="21">
                  <c:v>88229</c:v>
                </c:pt>
                <c:pt idx="22">
                  <c:v>83868</c:v>
                </c:pt>
                <c:pt idx="23">
                  <c:v>84222</c:v>
                </c:pt>
                <c:pt idx="24">
                  <c:v>81773</c:v>
                </c:pt>
                <c:pt idx="25">
                  <c:v>72611</c:v>
                </c:pt>
                <c:pt idx="26">
                  <c:v>76412</c:v>
                </c:pt>
              </c:numCache>
            </c:numRef>
          </c:val>
          <c:smooth val="0"/>
          <c:extLst>
            <c:ext xmlns:c16="http://schemas.microsoft.com/office/drawing/2014/chart" uri="{C3380CC4-5D6E-409C-BE32-E72D297353CC}">
              <c16:uniqueId val="{00000000-8743-44B3-BFD7-A9B7857EF3DC}"/>
            </c:ext>
          </c:extLst>
        </c:ser>
        <c:dLbls>
          <c:showLegendKey val="0"/>
          <c:showVal val="0"/>
          <c:showCatName val="0"/>
          <c:showSerName val="0"/>
          <c:showPercent val="0"/>
          <c:showBubbleSize val="0"/>
        </c:dLbls>
        <c:smooth val="0"/>
        <c:axId val="743735583"/>
        <c:axId val="743737503"/>
        <c:extLst>
          <c:ext xmlns:c15="http://schemas.microsoft.com/office/drawing/2012/chart" uri="{02D57815-91ED-43cb-92C2-25804820EDAC}">
            <c15:filteredLineSeries>
              <c15:ser>
                <c:idx val="1"/>
                <c:order val="1"/>
                <c:tx>
                  <c:strRef>
                    <c:extLst>
                      <c:ext uri="{02D57815-91ED-43cb-92C2-25804820EDAC}">
                        <c15:formulaRef>
                          <c15:sqref>'Revenue Trends'!$C$1</c15:sqref>
                        </c15:formulaRef>
                      </c:ext>
                    </c:extLst>
                    <c:strCache>
                      <c:ptCount val="1"/>
                      <c:pt idx="0">
                        <c:v>Month</c:v>
                      </c:pt>
                    </c:strCache>
                  </c:strRef>
                </c:tx>
                <c:spPr>
                  <a:ln w="28575" cap="rnd">
                    <a:solidFill>
                      <a:schemeClr val="accent2"/>
                    </a:solidFill>
                    <a:round/>
                  </a:ln>
                  <a:effectLst/>
                </c:spPr>
                <c:marker>
                  <c:symbol val="none"/>
                </c:marker>
                <c:cat>
                  <c:numRef>
                    <c:extLst>
                      <c:ext uri="{02D57815-91ED-43cb-92C2-25804820EDAC}">
                        <c15:formulaRef>
                          <c15:sqref>'Revenue Trends'!$C$2:$C$28</c15:sqref>
                        </c15:formulaRef>
                      </c:ext>
                    </c:extLst>
                    <c:numCache>
                      <c:formatCode>[$-409]mmmm\-yy;@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extLst>
                      <c:ext uri="{02D57815-91ED-43cb-92C2-25804820EDAC}">
                        <c15:formulaRef>
                          <c15:sqref>'Revenue Trends'!$C$2:$C$28</c15:sqref>
                        </c15:formulaRef>
                      </c:ext>
                    </c:extLst>
                    <c:numCache>
                      <c:formatCode>[$-409]mmmm\-yy;@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val>
                <c:smooth val="0"/>
                <c:extLst>
                  <c:ext xmlns:c16="http://schemas.microsoft.com/office/drawing/2014/chart" uri="{C3380CC4-5D6E-409C-BE32-E72D297353CC}">
                    <c16:uniqueId val="{00000001-8743-44B3-BFD7-A9B7857EF3DC}"/>
                  </c:ext>
                </c:extLst>
              </c15:ser>
            </c15:filteredLineSeries>
          </c:ext>
        </c:extLst>
      </c:lineChart>
      <c:dateAx>
        <c:axId val="743735583"/>
        <c:scaling>
          <c:orientation val="minMax"/>
        </c:scaling>
        <c:delete val="0"/>
        <c:axPos val="b"/>
        <c:numFmt formatCode="[$-409]m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auto val="1"/>
        <c:lblOffset val="100"/>
        <c:baseTimeUnit val="months"/>
      </c:dateAx>
      <c:valAx>
        <c:axId val="743737503"/>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743735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Annual customers churn at 2× the rate of monthly — driven by renewal price shock, not product failure</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'Churn Deep Dive'!$D$1</c:f>
              <c:strCache>
                <c:ptCount val="1"/>
                <c:pt idx="0">
                  <c:v>Churn Rate %</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B9DF-46A0-9983-07AB4EB022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Deep Dive'!$A$2:$A$4</c:f>
              <c:strCache>
                <c:ptCount val="3"/>
                <c:pt idx="0">
                  <c:v>Annual</c:v>
                </c:pt>
                <c:pt idx="1">
                  <c:v>Monthly</c:v>
                </c:pt>
                <c:pt idx="2">
                  <c:v>Total</c:v>
                </c:pt>
              </c:strCache>
            </c:strRef>
          </c:cat>
          <c:val>
            <c:numRef>
              <c:f>'Churn Deep Dive'!$D$2:$D$3</c:f>
              <c:numCache>
                <c:formatCode>0.0%</c:formatCode>
                <c:ptCount val="2"/>
                <c:pt idx="0">
                  <c:v>0.48747152619589978</c:v>
                </c:pt>
                <c:pt idx="1">
                  <c:v>0.26737967914438504</c:v>
                </c:pt>
              </c:numCache>
            </c:numRef>
          </c:val>
          <c:extLst>
            <c:ext xmlns:c16="http://schemas.microsoft.com/office/drawing/2014/chart" uri="{C3380CC4-5D6E-409C-BE32-E72D297353CC}">
              <c16:uniqueId val="{00000000-918F-4931-A1EE-21FD0318992D}"/>
            </c:ext>
          </c:extLst>
        </c:ser>
        <c:dLbls>
          <c:showLegendKey val="0"/>
          <c:showVal val="0"/>
          <c:showCatName val="0"/>
          <c:showSerName val="0"/>
          <c:showPercent val="0"/>
          <c:showBubbleSize val="0"/>
        </c:dLbls>
        <c:gapWidth val="219"/>
        <c:overlap val="-27"/>
        <c:axId val="670779871"/>
        <c:axId val="670780351"/>
      </c:barChart>
      <c:catAx>
        <c:axId val="6707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80351"/>
        <c:crosses val="autoZero"/>
        <c:auto val="1"/>
        <c:lblAlgn val="ctr"/>
        <c:lblOffset val="100"/>
        <c:noMultiLvlLbl val="0"/>
      </c:catAx>
      <c:valAx>
        <c:axId val="670780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7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133350</xdr:colOff>
      <xdr:row>1</xdr:row>
      <xdr:rowOff>76200</xdr:rowOff>
    </xdr:from>
    <xdr:to>
      <xdr:col>6</xdr:col>
      <xdr:colOff>304800</xdr:colOff>
      <xdr:row>7</xdr:row>
      <xdr:rowOff>161926</xdr:rowOff>
    </xdr:to>
    <xdr:sp macro="" textlink="'Revenue Trends'!B28">
      <xdr:nvSpPr>
        <xdr:cNvPr id="5" name="Rectangle: Rounded Corners 4">
          <a:extLst>
            <a:ext uri="{FF2B5EF4-FFF2-40B4-BE49-F238E27FC236}">
              <a16:creationId xmlns:a16="http://schemas.microsoft.com/office/drawing/2014/main" id="{CA4DE74A-C353-0CF2-CF0D-A89EB90506F6}"/>
            </a:ext>
          </a:extLst>
        </xdr:cNvPr>
        <xdr:cNvSpPr/>
      </xdr:nvSpPr>
      <xdr:spPr>
        <a:xfrm>
          <a:off x="1962150" y="266700"/>
          <a:ext cx="2000250" cy="1228726"/>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925AC230-46D4-40D7-8378-94CC56FFF9BF}" type="TxLink">
            <a:rPr lang="en-US" sz="2400" b="1" i="0" u="none" strike="noStrike">
              <a:solidFill>
                <a:srgbClr val="000000"/>
              </a:solidFill>
              <a:latin typeface="Calibri"/>
              <a:cs typeface="Calibri"/>
            </a:rPr>
            <a:pPr algn="ctr"/>
            <a:t>$76,412</a:t>
          </a:fld>
          <a:endParaRPr lang="en-US" sz="2400" b="1"/>
        </a:p>
      </xdr:txBody>
    </xdr:sp>
    <xdr:clientData/>
  </xdr:twoCellAnchor>
  <xdr:twoCellAnchor>
    <xdr:from>
      <xdr:col>6</xdr:col>
      <xdr:colOff>542925</xdr:colOff>
      <xdr:row>1</xdr:row>
      <xdr:rowOff>76200</xdr:rowOff>
    </xdr:from>
    <xdr:to>
      <xdr:col>10</xdr:col>
      <xdr:colOff>104775</xdr:colOff>
      <xdr:row>7</xdr:row>
      <xdr:rowOff>161926</xdr:rowOff>
    </xdr:to>
    <xdr:sp macro="" textlink="'Churn Deep Dive'!D4">
      <xdr:nvSpPr>
        <xdr:cNvPr id="8" name="Rectangle: Rounded Corners 7">
          <a:extLst>
            <a:ext uri="{FF2B5EF4-FFF2-40B4-BE49-F238E27FC236}">
              <a16:creationId xmlns:a16="http://schemas.microsoft.com/office/drawing/2014/main" id="{F29EDD70-3AF7-1753-CD6A-550E31AA93C5}"/>
            </a:ext>
          </a:extLst>
        </xdr:cNvPr>
        <xdr:cNvSpPr/>
      </xdr:nvSpPr>
      <xdr:spPr>
        <a:xfrm>
          <a:off x="4200525" y="266700"/>
          <a:ext cx="2000250" cy="1228726"/>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F867A5BD-5FC9-427C-BA66-6D110B12C488}" type="TxLink">
            <a:rPr lang="en-US" sz="2400" b="1" i="0" u="none" strike="noStrike">
              <a:solidFill>
                <a:srgbClr val="000000"/>
              </a:solidFill>
              <a:latin typeface="Calibri"/>
              <a:cs typeface="Calibri"/>
            </a:rPr>
            <a:pPr algn="ctr"/>
            <a:t>36.4%</a:t>
          </a:fld>
          <a:endParaRPr lang="en-US" sz="2400" b="1"/>
        </a:p>
      </xdr:txBody>
    </xdr:sp>
    <xdr:clientData/>
  </xdr:twoCellAnchor>
  <xdr:twoCellAnchor>
    <xdr:from>
      <xdr:col>10</xdr:col>
      <xdr:colOff>342900</xdr:colOff>
      <xdr:row>1</xdr:row>
      <xdr:rowOff>76200</xdr:rowOff>
    </xdr:from>
    <xdr:to>
      <xdr:col>13</xdr:col>
      <xdr:colOff>514350</xdr:colOff>
      <xdr:row>7</xdr:row>
      <xdr:rowOff>161926</xdr:rowOff>
    </xdr:to>
    <xdr:sp macro="" textlink="'Churn Deep Dive'!D2">
      <xdr:nvSpPr>
        <xdr:cNvPr id="9" name="Rectangle: Rounded Corners 8">
          <a:extLst>
            <a:ext uri="{FF2B5EF4-FFF2-40B4-BE49-F238E27FC236}">
              <a16:creationId xmlns:a16="http://schemas.microsoft.com/office/drawing/2014/main" id="{E5DA1E4B-2096-8270-0D24-BA97FE7C83F3}"/>
            </a:ext>
          </a:extLst>
        </xdr:cNvPr>
        <xdr:cNvSpPr/>
      </xdr:nvSpPr>
      <xdr:spPr>
        <a:xfrm>
          <a:off x="6438900" y="266700"/>
          <a:ext cx="2000250" cy="1228726"/>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r>
            <a:rPr lang="en-US" sz="1600" b="1" i="0" u="none" strike="noStrike">
              <a:solidFill>
                <a:srgbClr val="FF0000"/>
              </a:solidFill>
              <a:latin typeface="Calibri"/>
              <a:cs typeface="Calibri"/>
            </a:rPr>
            <a:t>Annual</a:t>
          </a:r>
          <a:r>
            <a:rPr lang="en-US" sz="1600" b="1" i="0" u="none" strike="noStrike" baseline="0">
              <a:solidFill>
                <a:srgbClr val="000000"/>
              </a:solidFill>
              <a:latin typeface="Calibri"/>
              <a:cs typeface="Calibri"/>
            </a:rPr>
            <a:t> </a:t>
          </a:r>
          <a:r>
            <a:rPr lang="en-US" sz="1600" b="1" i="0" u="none" strike="noStrike" baseline="0">
              <a:solidFill>
                <a:srgbClr val="FF0000"/>
              </a:solidFill>
              <a:latin typeface="Calibri"/>
              <a:cs typeface="Calibri"/>
            </a:rPr>
            <a:t>plans</a:t>
          </a:r>
          <a:r>
            <a:rPr lang="en-US" sz="1600" b="1" i="0" u="none" strike="noStrike" baseline="0">
              <a:solidFill>
                <a:srgbClr val="000000"/>
              </a:solidFill>
              <a:latin typeface="Calibri"/>
              <a:cs typeface="Calibri"/>
            </a:rPr>
            <a:t> </a:t>
          </a:r>
          <a:fld id="{3CBDB3D6-4613-47FD-AF5D-110E078AC6CC}" type="TxLink">
            <a:rPr lang="en-US" sz="2400" b="1" i="0" u="none" strike="noStrike">
              <a:solidFill>
                <a:srgbClr val="000000"/>
              </a:solidFill>
              <a:latin typeface="Calibri"/>
              <a:cs typeface="Calibri"/>
            </a:rPr>
            <a:pPr algn="ctr"/>
            <a:t>48.7%</a:t>
          </a:fld>
          <a:endParaRPr lang="en-US" sz="2400" b="1">
            <a:solidFill>
              <a:schemeClr val="tx1"/>
            </a:solidFill>
          </a:endParaRPr>
        </a:p>
      </xdr:txBody>
    </xdr:sp>
    <xdr:clientData/>
  </xdr:twoCellAnchor>
  <xdr:twoCellAnchor>
    <xdr:from>
      <xdr:col>3</xdr:col>
      <xdr:colOff>238125</xdr:colOff>
      <xdr:row>1</xdr:row>
      <xdr:rowOff>104776</xdr:rowOff>
    </xdr:from>
    <xdr:to>
      <xdr:col>6</xdr:col>
      <xdr:colOff>228600</xdr:colOff>
      <xdr:row>3</xdr:row>
      <xdr:rowOff>142875</xdr:rowOff>
    </xdr:to>
    <xdr:sp macro="" textlink="">
      <xdr:nvSpPr>
        <xdr:cNvPr id="11" name="TextBox 10">
          <a:extLst>
            <a:ext uri="{FF2B5EF4-FFF2-40B4-BE49-F238E27FC236}">
              <a16:creationId xmlns:a16="http://schemas.microsoft.com/office/drawing/2014/main" id="{16E7005E-F170-972E-F540-37779A789B53}"/>
            </a:ext>
          </a:extLst>
        </xdr:cNvPr>
        <xdr:cNvSpPr txBox="1"/>
      </xdr:nvSpPr>
      <xdr:spPr>
        <a:xfrm>
          <a:off x="2066925" y="295276"/>
          <a:ext cx="1819275" cy="41909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bg1"/>
              </a:solidFill>
            </a:rPr>
            <a:t>Latest Month</a:t>
          </a:r>
          <a:r>
            <a:rPr lang="en-US" sz="1400" baseline="0">
              <a:solidFill>
                <a:schemeClr val="bg1"/>
              </a:solidFill>
            </a:rPr>
            <a:t> </a:t>
          </a:r>
          <a:r>
            <a:rPr lang="en-US" sz="1400" b="1" baseline="0">
              <a:solidFill>
                <a:schemeClr val="bg1"/>
              </a:solidFill>
            </a:rPr>
            <a:t>MRR</a:t>
          </a:r>
          <a:endParaRPr lang="en-US" sz="1400" b="1">
            <a:solidFill>
              <a:schemeClr val="bg1"/>
            </a:solidFill>
          </a:endParaRPr>
        </a:p>
      </xdr:txBody>
    </xdr:sp>
    <xdr:clientData/>
  </xdr:twoCellAnchor>
  <xdr:twoCellAnchor>
    <xdr:from>
      <xdr:col>7</xdr:col>
      <xdr:colOff>114300</xdr:colOff>
      <xdr:row>1</xdr:row>
      <xdr:rowOff>104775</xdr:rowOff>
    </xdr:from>
    <xdr:to>
      <xdr:col>9</xdr:col>
      <xdr:colOff>571500</xdr:colOff>
      <xdr:row>4</xdr:row>
      <xdr:rowOff>28575</xdr:rowOff>
    </xdr:to>
    <xdr:sp macro="" textlink="">
      <xdr:nvSpPr>
        <xdr:cNvPr id="12" name="TextBox 11">
          <a:extLst>
            <a:ext uri="{FF2B5EF4-FFF2-40B4-BE49-F238E27FC236}">
              <a16:creationId xmlns:a16="http://schemas.microsoft.com/office/drawing/2014/main" id="{F1FCA78D-61F2-4E14-813F-29AEFC6E03C8}"/>
            </a:ext>
          </a:extLst>
        </xdr:cNvPr>
        <xdr:cNvSpPr txBox="1"/>
      </xdr:nvSpPr>
      <xdr:spPr>
        <a:xfrm>
          <a:off x="4381500" y="295275"/>
          <a:ext cx="1676400" cy="4953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Overall Churn Rate</a:t>
          </a:r>
        </a:p>
      </xdr:txBody>
    </xdr:sp>
    <xdr:clientData/>
  </xdr:twoCellAnchor>
  <xdr:twoCellAnchor>
    <xdr:from>
      <xdr:col>10</xdr:col>
      <xdr:colOff>485776</xdr:colOff>
      <xdr:row>1</xdr:row>
      <xdr:rowOff>95250</xdr:rowOff>
    </xdr:from>
    <xdr:to>
      <xdr:col>13</xdr:col>
      <xdr:colOff>428625</xdr:colOff>
      <xdr:row>4</xdr:row>
      <xdr:rowOff>9525</xdr:rowOff>
    </xdr:to>
    <xdr:sp macro="" textlink="">
      <xdr:nvSpPr>
        <xdr:cNvPr id="13" name="TextBox 12">
          <a:extLst>
            <a:ext uri="{FF2B5EF4-FFF2-40B4-BE49-F238E27FC236}">
              <a16:creationId xmlns:a16="http://schemas.microsoft.com/office/drawing/2014/main" id="{80A2835D-97F8-4280-837D-50A2258C4792}"/>
            </a:ext>
          </a:extLst>
        </xdr:cNvPr>
        <xdr:cNvSpPr txBox="1"/>
      </xdr:nvSpPr>
      <xdr:spPr>
        <a:xfrm>
          <a:off x="6581776" y="285750"/>
          <a:ext cx="1771649" cy="48577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Highest Risk Segment</a:t>
          </a:r>
        </a:p>
      </xdr:txBody>
    </xdr:sp>
    <xdr:clientData/>
  </xdr:twoCellAnchor>
  <xdr:twoCellAnchor>
    <xdr:from>
      <xdr:col>3</xdr:col>
      <xdr:colOff>171450</xdr:colOff>
      <xdr:row>9</xdr:row>
      <xdr:rowOff>114298</xdr:rowOff>
    </xdr:from>
    <xdr:to>
      <xdr:col>17</xdr:col>
      <xdr:colOff>342899</xdr:colOff>
      <xdr:row>23</xdr:row>
      <xdr:rowOff>76199</xdr:rowOff>
    </xdr:to>
    <xdr:sp macro="" textlink="">
      <xdr:nvSpPr>
        <xdr:cNvPr id="3" name="Rectangle 2">
          <a:extLst>
            <a:ext uri="{FF2B5EF4-FFF2-40B4-BE49-F238E27FC236}">
              <a16:creationId xmlns:a16="http://schemas.microsoft.com/office/drawing/2014/main" id="{FE585E3D-EDAB-0392-A9DB-D0DF52E21CF8}"/>
            </a:ext>
          </a:extLst>
        </xdr:cNvPr>
        <xdr:cNvSpPr/>
      </xdr:nvSpPr>
      <xdr:spPr>
        <a:xfrm>
          <a:off x="2000250" y="1828798"/>
          <a:ext cx="8705849" cy="2628901"/>
        </a:xfrm>
        <a:prstGeom prst="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Segoe UI" panose="020B0502040204020203" pitchFamily="34" charset="0"/>
              <a:cs typeface="Segoe UI" panose="020B0502040204020203" pitchFamily="34" charset="0"/>
            </a:rPr>
            <a:t>STRATEGIC RECOMMENDATIONS</a:t>
          </a:r>
        </a:p>
        <a:p>
          <a:pPr algn="l"/>
          <a:endParaRPr lang="en-US" sz="1600" b="1">
            <a:latin typeface="Segoe UI" panose="020B0502040204020203" pitchFamily="34" charset="0"/>
            <a:cs typeface="Segoe UI" panose="020B0502040204020203" pitchFamily="34" charset="0"/>
          </a:endParaRPr>
        </a:p>
        <a:p>
          <a:pPr algn="l"/>
          <a:r>
            <a:rPr lang="en-US" sz="1200" b="1"/>
            <a:t>"The data points to one root cause: annual renewal friction. The three actions below address it directly."</a:t>
          </a:r>
        </a:p>
        <a:p>
          <a:pPr algn="l"/>
          <a:endParaRPr lang="en-US" sz="1200" b="1">
            <a:latin typeface="Segoe UI" panose="020B0502040204020203" pitchFamily="34" charset="0"/>
            <a:cs typeface="Segoe UI" panose="020B0502040204020203" pitchFamily="34" charset="0"/>
          </a:endParaRPr>
        </a:p>
        <a:p>
          <a:pPr algn="l"/>
          <a:r>
            <a:rPr lang="en-US" sz="1100" b="1"/>
            <a:t>- Retention Campaign:</a:t>
          </a:r>
          <a:r>
            <a:rPr lang="en-US" sz="1100"/>
            <a:t> Implement an automated email sequence at Month 11 for Annual users offering a  </a:t>
          </a:r>
          <a:r>
            <a:rPr lang="en-US" sz="1100" baseline="0"/>
            <a:t>   </a:t>
          </a:r>
          <a:r>
            <a:rPr lang="en-US" sz="1100"/>
            <a:t>'Loyalty Renewal' discount to combat renewal price shock.</a:t>
          </a:r>
        </a:p>
        <a:p>
          <a:pPr algn="l"/>
          <a:endParaRPr lang="en-US" sz="1100"/>
        </a:p>
        <a:p>
          <a:pPr algn="l"/>
          <a:r>
            <a:rPr lang="en-US" sz="1100" b="1"/>
            <a:t>- Proactive Outreach:</a:t>
          </a:r>
          <a:r>
            <a:rPr lang="en-US" sz="1100"/>
            <a:t> Flag users with </a:t>
          </a:r>
          <a:r>
            <a:rPr lang="en-US" sz="1100" b="1"/>
            <a:t>Usage Scores &lt; 30</a:t>
          </a:r>
          <a:r>
            <a:rPr lang="en-US" sz="1100"/>
            <a:t> for immediate Customer Success outreach; these users are 3x more likely to churn regardless of plan type.</a:t>
          </a:r>
        </a:p>
        <a:p>
          <a:pPr algn="l"/>
          <a:endParaRPr lang="en-US" sz="1100"/>
        </a:p>
        <a:p>
          <a:pPr algn="l"/>
          <a:r>
            <a:rPr lang="en-US" sz="1100" b="1"/>
            <a:t>- Billing Optimization:</a:t>
          </a:r>
          <a:r>
            <a:rPr lang="en-US" sz="1100"/>
            <a:t> Transition the "Annual Plan" renewal notification from a standard invoice to a "Value Summary" report to remind users of the product's ROI before the charge hits.</a:t>
          </a:r>
        </a:p>
        <a:p>
          <a:pPr algn="l"/>
          <a:endParaRPr lang="en-US" sz="1600" b="1">
            <a:latin typeface="Segoe UI" panose="020B0502040204020203" pitchFamily="34" charset="0"/>
            <a:cs typeface="Segoe UI" panose="020B0502040204020203" pitchFamily="34" charset="0"/>
          </a:endParaRPr>
        </a:p>
      </xdr:txBody>
    </xdr:sp>
    <xdr:clientData/>
  </xdr:twoCellAnchor>
  <xdr:twoCellAnchor>
    <xdr:from>
      <xdr:col>14</xdr:col>
      <xdr:colOff>142875</xdr:colOff>
      <xdr:row>1</xdr:row>
      <xdr:rowOff>76200</xdr:rowOff>
    </xdr:from>
    <xdr:to>
      <xdr:col>17</xdr:col>
      <xdr:colOff>314325</xdr:colOff>
      <xdr:row>7</xdr:row>
      <xdr:rowOff>161926</xdr:rowOff>
    </xdr:to>
    <xdr:sp macro="" textlink="'Churn Deep Dive'!D2">
      <xdr:nvSpPr>
        <xdr:cNvPr id="2" name="Rectangle: Rounded Corners 1">
          <a:extLst>
            <a:ext uri="{FF2B5EF4-FFF2-40B4-BE49-F238E27FC236}">
              <a16:creationId xmlns:a16="http://schemas.microsoft.com/office/drawing/2014/main" id="{792A90A0-541D-AD15-CB3D-66591AE9F756}"/>
            </a:ext>
          </a:extLst>
        </xdr:cNvPr>
        <xdr:cNvSpPr/>
      </xdr:nvSpPr>
      <xdr:spPr>
        <a:xfrm>
          <a:off x="8677275" y="266700"/>
          <a:ext cx="2000250" cy="1228726"/>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r>
            <a:rPr lang="en-US" sz="2400" b="1">
              <a:solidFill>
                <a:schemeClr val="tx1"/>
              </a:solidFill>
            </a:rPr>
            <a:t>$1.58M</a:t>
          </a:r>
        </a:p>
      </xdr:txBody>
    </xdr:sp>
    <xdr:clientData/>
  </xdr:twoCellAnchor>
  <xdr:twoCellAnchor>
    <xdr:from>
      <xdr:col>14</xdr:col>
      <xdr:colOff>352425</xdr:colOff>
      <xdr:row>1</xdr:row>
      <xdr:rowOff>85727</xdr:rowOff>
    </xdr:from>
    <xdr:to>
      <xdr:col>17</xdr:col>
      <xdr:colOff>123825</xdr:colOff>
      <xdr:row>4</xdr:row>
      <xdr:rowOff>9525</xdr:rowOff>
    </xdr:to>
    <xdr:sp macro="" textlink="">
      <xdr:nvSpPr>
        <xdr:cNvPr id="4" name="TextBox 3">
          <a:extLst>
            <a:ext uri="{FF2B5EF4-FFF2-40B4-BE49-F238E27FC236}">
              <a16:creationId xmlns:a16="http://schemas.microsoft.com/office/drawing/2014/main" id="{ABA071BF-F3A1-0BA3-0108-824336A4FA48}"/>
            </a:ext>
          </a:extLst>
        </xdr:cNvPr>
        <xdr:cNvSpPr txBox="1"/>
      </xdr:nvSpPr>
      <xdr:spPr>
        <a:xfrm>
          <a:off x="8886825" y="276227"/>
          <a:ext cx="1600200" cy="49529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MRR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1</xdr:row>
      <xdr:rowOff>85724</xdr:rowOff>
    </xdr:from>
    <xdr:to>
      <xdr:col>16</xdr:col>
      <xdr:colOff>581025</xdr:colOff>
      <xdr:row>17</xdr:row>
      <xdr:rowOff>114300</xdr:rowOff>
    </xdr:to>
    <xdr:graphicFrame macro="">
      <xdr:nvGraphicFramePr>
        <xdr:cNvPr id="7" name="Chart 6">
          <a:extLst>
            <a:ext uri="{FF2B5EF4-FFF2-40B4-BE49-F238E27FC236}">
              <a16:creationId xmlns:a16="http://schemas.microsoft.com/office/drawing/2014/main" id="{2651B027-0FB3-8BC2-A9AE-3A6F16371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323849</xdr:colOff>
      <xdr:row>18</xdr:row>
      <xdr:rowOff>38100</xdr:rowOff>
    </xdr:from>
    <xdr:to>
      <xdr:col>11</xdr:col>
      <xdr:colOff>28575</xdr:colOff>
      <xdr:row>25</xdr:row>
      <xdr:rowOff>76200</xdr:rowOff>
    </xdr:to>
    <xdr:sp macro="" textlink="">
      <xdr:nvSpPr>
        <xdr:cNvPr id="8" name="TextBox 7">
          <a:extLst>
            <a:ext uri="{FF2B5EF4-FFF2-40B4-BE49-F238E27FC236}">
              <a16:creationId xmlns:a16="http://schemas.microsoft.com/office/drawing/2014/main" id="{499D86DC-3063-A3E0-CE3C-EC57636E220A}"/>
            </a:ext>
          </a:extLst>
        </xdr:cNvPr>
        <xdr:cNvSpPr txBox="1"/>
      </xdr:nvSpPr>
      <xdr:spPr>
        <a:xfrm>
          <a:off x="4276724" y="3467100"/>
          <a:ext cx="3971926" cy="1371600"/>
        </a:xfrm>
        <a:prstGeom prst="rect">
          <a:avLst/>
        </a:prstGeom>
        <a:solidFill>
          <a:schemeClr val="lt1"/>
        </a:solidFill>
        <a:ln w="19050" cmpd="sng">
          <a:solidFill>
            <a:schemeClr val="accent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r>
            <a:rPr lang="en-US" sz="1100"/>
            <a:t>MOM Growth% = Current</a:t>
          </a:r>
          <a:r>
            <a:rPr lang="en-US" sz="1100" baseline="0"/>
            <a:t> Month MRR - Previous Month MRR    </a:t>
          </a:r>
        </a:p>
        <a:p>
          <a:r>
            <a:rPr lang="en-US" sz="1100" baseline="0"/>
            <a:t>                                                    Previous Month MRR</a:t>
          </a:r>
          <a:endParaRPr lang="en-US" sz="1100"/>
        </a:p>
      </xdr:txBody>
    </xdr:sp>
    <xdr:clientData/>
  </xdr:twoCellAnchor>
  <xdr:twoCellAnchor>
    <xdr:from>
      <xdr:col>6</xdr:col>
      <xdr:colOff>200025</xdr:colOff>
      <xdr:row>22</xdr:row>
      <xdr:rowOff>0</xdr:rowOff>
    </xdr:from>
    <xdr:to>
      <xdr:col>10</xdr:col>
      <xdr:colOff>276225</xdr:colOff>
      <xdr:row>22</xdr:row>
      <xdr:rowOff>9525</xdr:rowOff>
    </xdr:to>
    <xdr:cxnSp macro="">
      <xdr:nvCxnSpPr>
        <xdr:cNvPr id="15" name="Straight Connector 14">
          <a:extLst>
            <a:ext uri="{FF2B5EF4-FFF2-40B4-BE49-F238E27FC236}">
              <a16:creationId xmlns:a16="http://schemas.microsoft.com/office/drawing/2014/main" id="{52CA9DA1-2FDA-9F32-24E5-391B668FDCE5}"/>
            </a:ext>
          </a:extLst>
        </xdr:cNvPr>
        <xdr:cNvCxnSpPr/>
      </xdr:nvCxnSpPr>
      <xdr:spPr>
        <a:xfrm flipV="1">
          <a:off x="4400550" y="4191000"/>
          <a:ext cx="251460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390525</xdr:colOff>
      <xdr:row>18</xdr:row>
      <xdr:rowOff>38100</xdr:rowOff>
    </xdr:from>
    <xdr:to>
      <xdr:col>9</xdr:col>
      <xdr:colOff>590550</xdr:colOff>
      <xdr:row>20</xdr:row>
      <xdr:rowOff>19050</xdr:rowOff>
    </xdr:to>
    <xdr:sp macro="" textlink="">
      <xdr:nvSpPr>
        <xdr:cNvPr id="2" name="Rectangle 1">
          <a:extLst>
            <a:ext uri="{FF2B5EF4-FFF2-40B4-BE49-F238E27FC236}">
              <a16:creationId xmlns:a16="http://schemas.microsoft.com/office/drawing/2014/main" id="{F0AF044A-A28C-9D6B-9EB6-3FD44BF29F97}"/>
            </a:ext>
          </a:extLst>
        </xdr:cNvPr>
        <xdr:cNvSpPr/>
      </xdr:nvSpPr>
      <xdr:spPr>
        <a:xfrm>
          <a:off x="3981450" y="3467100"/>
          <a:ext cx="2638425" cy="36195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How MoM Growth</a:t>
          </a:r>
          <a:r>
            <a:rPr lang="en-US" sz="1200" b="1" baseline="0"/>
            <a:t> % is calculated</a:t>
          </a:r>
          <a:endParaRPr lang="en-US"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76200</xdr:rowOff>
    </xdr:from>
    <xdr:to>
      <xdr:col>4</xdr:col>
      <xdr:colOff>504825</xdr:colOff>
      <xdr:row>19</xdr:row>
      <xdr:rowOff>152400</xdr:rowOff>
    </xdr:to>
    <xdr:graphicFrame macro="">
      <xdr:nvGraphicFramePr>
        <xdr:cNvPr id="2" name="Chart 1">
          <a:extLst>
            <a:ext uri="{FF2B5EF4-FFF2-40B4-BE49-F238E27FC236}">
              <a16:creationId xmlns:a16="http://schemas.microsoft.com/office/drawing/2014/main" id="{482A8595-09A2-AEDE-4421-46DFDCB81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295275</xdr:colOff>
      <xdr:row>6</xdr:row>
      <xdr:rowOff>133349</xdr:rowOff>
    </xdr:from>
    <xdr:ext cx="3114675" cy="264560"/>
    <xdr:sp macro="" textlink="">
      <xdr:nvSpPr>
        <xdr:cNvPr id="3" name="TextBox 2">
          <a:extLst>
            <a:ext uri="{FF2B5EF4-FFF2-40B4-BE49-F238E27FC236}">
              <a16:creationId xmlns:a16="http://schemas.microsoft.com/office/drawing/2014/main" id="{192241CB-EF8A-243F-0658-0E1D82C674D8}"/>
            </a:ext>
          </a:extLst>
        </xdr:cNvPr>
        <xdr:cNvSpPr txBox="1"/>
      </xdr:nvSpPr>
      <xdr:spPr>
        <a:xfrm>
          <a:off x="6191250" y="1276349"/>
          <a:ext cx="31146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6</xdr:col>
      <xdr:colOff>28574</xdr:colOff>
      <xdr:row>10</xdr:row>
      <xdr:rowOff>19050</xdr:rowOff>
    </xdr:from>
    <xdr:to>
      <xdr:col>8</xdr:col>
      <xdr:colOff>895350</xdr:colOff>
      <xdr:row>18</xdr:row>
      <xdr:rowOff>152400</xdr:rowOff>
    </xdr:to>
    <xdr:sp macro="" textlink="">
      <xdr:nvSpPr>
        <xdr:cNvPr id="4" name="TextBox 3">
          <a:extLst>
            <a:ext uri="{FF2B5EF4-FFF2-40B4-BE49-F238E27FC236}">
              <a16:creationId xmlns:a16="http://schemas.microsoft.com/office/drawing/2014/main" id="{B88B3494-915F-6855-2277-399E5AAA33DB}"/>
            </a:ext>
          </a:extLst>
        </xdr:cNvPr>
        <xdr:cNvSpPr txBox="1"/>
      </xdr:nvSpPr>
      <xdr:spPr>
        <a:xfrm>
          <a:off x="5495924" y="2038350"/>
          <a:ext cx="4314826" cy="1657350"/>
        </a:xfrm>
        <a:prstGeom prst="rect">
          <a:avLst/>
        </a:prstGeom>
        <a:solidFill>
          <a:schemeClr val="lt1"/>
        </a:solidFill>
        <a:ln w="19050" cmpd="sng">
          <a:solidFill>
            <a:schemeClr val="accent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INSIGHT:</a:t>
          </a:r>
          <a:r>
            <a:rPr lang="en-US" sz="1100">
              <a:solidFill>
                <a:schemeClr val="dk1"/>
              </a:solidFill>
              <a:effectLst/>
              <a:latin typeface="+mn-lt"/>
              <a:ea typeface="+mn-ea"/>
              <a:cs typeface="+mn-cs"/>
            </a:rPr>
            <a:t> Annual customers churn at nearly 2x the rate of monthly customers. Spikes occur at Month 12 renewal. This is driven by 'Price Shock' rather than product failure, as Usage Scores remain high (avg 65) for this group.</a:t>
          </a:r>
          <a:endParaRPr lang="en-US">
            <a:effectLst/>
          </a:endParaRPr>
        </a:p>
        <a:p>
          <a:endParaRPr lang="en-US" sz="1100"/>
        </a:p>
      </xdr:txBody>
    </xdr:sp>
    <xdr:clientData/>
  </xdr:twoCellAnchor>
  <xdr:twoCellAnchor>
    <xdr:from>
      <xdr:col>6</xdr:col>
      <xdr:colOff>647700</xdr:colOff>
      <xdr:row>10</xdr:row>
      <xdr:rowOff>9525</xdr:rowOff>
    </xdr:from>
    <xdr:to>
      <xdr:col>8</xdr:col>
      <xdr:colOff>257175</xdr:colOff>
      <xdr:row>12</xdr:row>
      <xdr:rowOff>104775</xdr:rowOff>
    </xdr:to>
    <xdr:sp macro="" textlink="">
      <xdr:nvSpPr>
        <xdr:cNvPr id="5" name="Rectangle 4">
          <a:extLst>
            <a:ext uri="{FF2B5EF4-FFF2-40B4-BE49-F238E27FC236}">
              <a16:creationId xmlns:a16="http://schemas.microsoft.com/office/drawing/2014/main" id="{E4D8679B-297A-470F-F00F-0ACF06531723}"/>
            </a:ext>
          </a:extLst>
        </xdr:cNvPr>
        <xdr:cNvSpPr/>
      </xdr:nvSpPr>
      <xdr:spPr>
        <a:xfrm>
          <a:off x="6115050" y="2028825"/>
          <a:ext cx="3057525" cy="47625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Analyst Insight</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CD1971-CB70-4938-9BC0-F94E97DDE230}" autoFormatId="16" applyNumberFormats="0" applyBorderFormats="0" applyFontFormats="0" applyPatternFormats="0" applyAlignmentFormats="0" applyWidthHeightFormats="0">
  <queryTableRefresh nextId="21" unboundColumnsRight="1">
    <queryTableFields count="20">
      <queryTableField id="1" name="customer_id" tableColumnId="20"/>
      <queryTableField id="2" name="signup_date" tableColumnId="2"/>
      <queryTableField id="3" name="plan_name" tableColumnId="3"/>
      <queryTableField id="4" name="billing_cycle" tableColumnId="4"/>
      <queryTableField id="5" name="industry" tableColumnId="5"/>
      <queryTableField id="6" name="country" tableColumnId="6"/>
      <queryTableField id="7" name="acquisition_channel" tableColumnId="7"/>
      <queryTableField id="8" name="company_size" tableColumnId="8"/>
      <queryTableField id="9" name="monthly_price" tableColumnId="9"/>
      <queryTableField id="10" name="annual_price" tableColumnId="10"/>
      <queryTableField id="11" name="contract_value" tableColumnId="11"/>
      <queryTableField id="12" name="is_churned" tableColumnId="12"/>
      <queryTableField id="13" name="churn_date" tableColumnId="13"/>
      <queryTableField id="14" name="tenure_months" tableColumnId="14"/>
      <queryTableField id="15" name="usage_score" tableColumnId="15"/>
      <queryTableField id="16" name="support_tickets" tableColumnId="16"/>
      <queryTableField id="17" name="cancel_reason" tableColumnId="17"/>
      <queryTableField id="18" name="actual_ticket_count" tableColumnId="18"/>
      <queryTableField id="19" name="Churn_Probability" tableColumnId="19"/>
      <queryTableField id="20" dataBound="0"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BED3FD-CEAC-41A0-B2C1-14D8065AB106}" name="Revenue" displayName="Revenue" ref="A1:D28" totalsRowShown="0" dataDxfId="29">
  <autoFilter ref="A1:D28" xr:uid="{A5BED3FD-CEAC-41A0-B2C1-14D8065AB106}"/>
  <tableColumns count="4">
    <tableColumn id="1" xr3:uid="{A25AB2A0-CEBD-4089-8344-BE28F1AA3929}" name="Event Month" dataDxfId="28"/>
    <tableColumn id="2" xr3:uid="{E8480D60-74CA-4E97-A389-C05A34E07A64}" name="Total MRR" dataDxfId="27"/>
    <tableColumn id="3" xr3:uid="{28051CBE-5D36-4CBE-9DFD-ACD24F696CAE}" name="Month" dataDxfId="26">
      <calculatedColumnFormula>DATE(LEFT(A2,4), RIGHT(A2,2), 1)</calculatedColumnFormula>
    </tableColumn>
    <tableColumn id="4" xr3:uid="{7C41A7CF-1EC2-4964-917C-9CC935C99823}" name="MoM Growth %" dataDxfId="25">
      <calculatedColumnFormula>(B2-B1)/B1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B02721-BBC4-4599-ABB2-14CA233D5D6F}" name="Churn" displayName="Churn" ref="A1:D4" totalsRowShown="0">
  <autoFilter ref="A1:D4" xr:uid="{96B02721-BBC4-4599-ABB2-14CA233D5D6F}"/>
  <tableColumns count="4">
    <tableColumn id="1" xr3:uid="{E34CEE35-CF98-492D-9832-5C26E3FCB3A1}" name="Billing Cycle"/>
    <tableColumn id="2" xr3:uid="{F92C1689-E7AD-4C33-B9D8-E999FAE59C8C}" name="Active" dataDxfId="12"/>
    <tableColumn id="3" xr3:uid="{DE7E5F88-3FD1-4E96-A316-B3365466C70C}" name="Churned" dataDxfId="11"/>
    <tableColumn id="4" xr3:uid="{4C374A3B-B213-40F1-A098-594DD23C769D}" name="Churn Rate %" dataDxfId="10" dataCellStyle="Percent">
      <calculatedColumnFormula>C2/(B2+C2)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1F70F3-1836-4941-9CEF-FC305C026826}" name="Table4" displayName="Table4" ref="G2:I8" totalsRowShown="0" headerRowDxfId="3" headerRowBorderDxfId="8" tableBorderDxfId="9" totalsRowBorderDxfId="7">
  <autoFilter ref="G2:I8" xr:uid="{7A1F70F3-1836-4941-9CEF-FC305C026826}">
    <filterColumn colId="0" hiddenButton="1"/>
    <filterColumn colId="1" hiddenButton="1"/>
    <filterColumn colId="2" hiddenButton="1"/>
  </autoFilter>
  <tableColumns count="3">
    <tableColumn id="1" xr3:uid="{76F09539-BA28-4581-A3D0-9FC633A6B1AA}" name="Cancel Reason" dataDxfId="6"/>
    <tableColumn id="2" xr3:uid="{FC015B8E-6612-4F9A-9466-21688A7849E8}" name="Annual Churners" dataDxfId="5"/>
    <tableColumn id="3" xr3:uid="{9043A50B-18AE-442E-8F59-D3E738E33387}" name="% of Annual Churners" dataDxfId="4">
      <calculatedColumnFormula>H3/214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CBCB73-097C-4A52-87CE-9DAC7F06597E}" name="high_risk_customers_v2" displayName="high_risk_customers_v2" ref="A3:T52" tableType="queryTable" totalsRowShown="0" headerRowDxfId="0">
  <autoFilter ref="A3:T52" xr:uid="{CCCBCB73-097C-4A52-87CE-9DAC7F06597E}"/>
  <tableColumns count="20">
    <tableColumn id="20" xr3:uid="{1A8C9FF1-ADDF-4BB9-8EC3-92A372AC14F9}" uniqueName="20" name="customer_id" queryTableFieldId="1" dataDxfId="24"/>
    <tableColumn id="2" xr3:uid="{F05990B0-CDBA-429C-9809-D9723A0DA1E2}" uniqueName="2" name="signup_date" queryTableFieldId="2" dataDxfId="23"/>
    <tableColumn id="3" xr3:uid="{45F66209-3D66-4A46-AC9D-A0004A7D39CD}" uniqueName="3" name="plan_name" queryTableFieldId="3" dataDxfId="22"/>
    <tableColumn id="4" xr3:uid="{A3518AA7-7955-41F5-B955-23ECA77D9B33}" uniqueName="4" name="billing_cycle" queryTableFieldId="4" dataDxfId="21"/>
    <tableColumn id="5" xr3:uid="{C2773263-668D-4019-8A9A-D46145134E42}" uniqueName="5" name="industry" queryTableFieldId="5" dataDxfId="20"/>
    <tableColumn id="6" xr3:uid="{D8338D5A-7D8E-4A3E-861F-3FAC0B80F769}" uniqueName="6" name="country" queryTableFieldId="6" dataDxfId="19"/>
    <tableColumn id="7" xr3:uid="{E461E6DF-E348-4ECB-8DF3-657CB4259B92}" uniqueName="7" name="acquisition_channel" queryTableFieldId="7" dataDxfId="18"/>
    <tableColumn id="8" xr3:uid="{CE405C47-CC8E-4D9A-AF34-835615DD2E7C}" uniqueName="8" name="company_size" queryTableFieldId="8" dataDxfId="17"/>
    <tableColumn id="9" xr3:uid="{9CBCB348-082F-4044-8B30-956119DDC2AB}" uniqueName="9" name="monthly_price" queryTableFieldId="9"/>
    <tableColumn id="10" xr3:uid="{0409F455-4D38-4298-8D1D-734382207D9F}" uniqueName="10" name="annual_price" queryTableFieldId="10"/>
    <tableColumn id="11" xr3:uid="{EE9CEC3C-5B3F-4238-998E-9FA5D309B93B}" uniqueName="11" name="contract_value" queryTableFieldId="11"/>
    <tableColumn id="12" xr3:uid="{F61EA703-5A8B-408F-9966-75B05C089F3C}" uniqueName="12" name="is_churned" queryTableFieldId="12"/>
    <tableColumn id="13" xr3:uid="{69E39D7C-7810-4611-B349-A3495A2E7986}" uniqueName="13" name="churn_date" queryTableFieldId="13" dataDxfId="16"/>
    <tableColumn id="14" xr3:uid="{A57F24A0-F2C7-4099-8F3E-2DC0E4978C2E}" uniqueName="14" name="tenure_months" queryTableFieldId="14"/>
    <tableColumn id="15" xr3:uid="{69624C9F-7543-4BC5-8E87-B44088B7D8CA}" uniqueName="15" name="usage_score" queryTableFieldId="15"/>
    <tableColumn id="16" xr3:uid="{DC7E2D87-BD9D-4921-A837-2B4D2DA00939}" uniqueName="16" name="support_tickets" queryTableFieldId="16"/>
    <tableColumn id="17" xr3:uid="{EA94DE15-B609-498F-9A67-F14FBAA0C90B}" uniqueName="17" name="cancel_reason" queryTableFieldId="17" dataDxfId="15"/>
    <tableColumn id="18" xr3:uid="{3774BC0F-CF12-4E3F-AACE-FFB078622CC3}" uniqueName="18" name="actual_ticket_count" queryTableFieldId="18"/>
    <tableColumn id="19" xr3:uid="{BBC77189-7B67-40D9-8018-6519C297B64D}" uniqueName="19" name="Churn_Probability" queryTableFieldId="19" dataDxfId="2" dataCellStyle="Percent"/>
    <tableColumn id="1" xr3:uid="{1902DBAC-6A6A-4415-82A3-7AF70C184CBA}" uniqueName="1" name="Risk Band" queryTableFieldId="20" dataDxfId="1">
      <calculatedColumnFormula>IF(S4&gt;=0.8," Critical",IF(S4&gt;=0.65,"High",IF(S4&gt;=0.5,"Medium"," 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3F967-7D87-45ED-97E3-C6D373FCDFF4}">
  <sheetPr>
    <tabColor rgb="FF7030A0"/>
  </sheetPr>
  <dimension ref="A1:Z9"/>
  <sheetViews>
    <sheetView showGridLines="0" workbookViewId="0">
      <pane ySplit="1" topLeftCell="A2" activePane="bottomLeft" state="frozen"/>
      <selection pane="bottomLeft" activeCell="U28" sqref="U28"/>
    </sheetView>
  </sheetViews>
  <sheetFormatPr defaultRowHeight="15" x14ac:dyDescent="0.25"/>
  <sheetData>
    <row r="1" spans="1:26" x14ac:dyDescent="0.25">
      <c r="A1" s="3"/>
      <c r="B1" s="3"/>
      <c r="C1" s="3"/>
      <c r="D1" s="3"/>
      <c r="E1" s="3"/>
      <c r="F1" s="3"/>
      <c r="G1" s="3"/>
      <c r="H1" s="3"/>
      <c r="I1" s="3"/>
      <c r="J1" s="3"/>
      <c r="K1" s="3"/>
      <c r="L1" s="3"/>
      <c r="M1" s="3"/>
      <c r="N1" s="3"/>
      <c r="O1" s="3"/>
      <c r="P1" s="3"/>
      <c r="Q1" s="3"/>
      <c r="R1" s="3"/>
      <c r="S1" s="3"/>
      <c r="T1" s="3"/>
      <c r="U1" s="3"/>
      <c r="V1" s="3"/>
      <c r="W1" s="3"/>
      <c r="X1" s="3"/>
      <c r="Y1" s="3"/>
      <c r="Z1" s="3"/>
    </row>
    <row r="2" spans="1:26" x14ac:dyDescent="0.25">
      <c r="A2" s="3"/>
      <c r="B2" s="3"/>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x14ac:dyDescent="0.25">
      <c r="A4" s="3"/>
      <c r="B4" s="3"/>
      <c r="C4" s="3"/>
      <c r="D4" s="3"/>
      <c r="E4" s="3"/>
      <c r="F4" s="3"/>
      <c r="G4" s="3"/>
      <c r="H4" s="3"/>
      <c r="I4" s="3"/>
      <c r="J4" s="3"/>
      <c r="K4" s="3"/>
      <c r="L4" s="3"/>
      <c r="M4" s="3"/>
      <c r="N4" s="3"/>
      <c r="O4" s="3"/>
      <c r="P4" s="3"/>
      <c r="Q4" s="3"/>
      <c r="R4" s="3"/>
      <c r="S4" s="3"/>
      <c r="T4" s="3"/>
      <c r="U4" s="3"/>
      <c r="V4" s="3"/>
      <c r="W4" s="3"/>
      <c r="X4" s="3"/>
      <c r="Y4" s="3"/>
      <c r="Z4" s="3"/>
    </row>
    <row r="5" spans="1:26" x14ac:dyDescent="0.25">
      <c r="A5" s="3"/>
      <c r="B5" s="3"/>
      <c r="C5" s="3"/>
      <c r="D5" s="3"/>
      <c r="E5" s="3"/>
      <c r="F5" s="3"/>
      <c r="G5" s="3"/>
      <c r="H5" s="3"/>
      <c r="I5" s="3"/>
      <c r="J5" s="3"/>
      <c r="K5" s="3"/>
      <c r="L5" s="3"/>
      <c r="M5" s="3"/>
      <c r="N5" s="3"/>
      <c r="O5" s="3"/>
      <c r="P5" s="3"/>
      <c r="Q5" s="3"/>
      <c r="R5" s="3"/>
      <c r="S5" s="3"/>
      <c r="T5" s="3"/>
      <c r="U5" s="3"/>
      <c r="V5" s="3"/>
      <c r="W5" s="3"/>
      <c r="X5" s="3"/>
      <c r="Y5" s="3"/>
      <c r="Z5" s="3"/>
    </row>
    <row r="6" spans="1:26" x14ac:dyDescent="0.25">
      <c r="A6" s="3"/>
      <c r="B6" s="3"/>
      <c r="C6" s="3"/>
      <c r="D6" s="3"/>
      <c r="E6" s="3"/>
      <c r="F6" s="3"/>
      <c r="G6" s="3"/>
      <c r="H6" s="3"/>
      <c r="I6" s="3"/>
      <c r="J6" s="3"/>
      <c r="K6" s="3"/>
      <c r="L6" s="3"/>
      <c r="M6" s="3"/>
      <c r="N6" s="3"/>
      <c r="O6" s="3"/>
      <c r="P6" s="3"/>
      <c r="Q6" s="3"/>
      <c r="R6" s="3"/>
      <c r="S6" s="3"/>
      <c r="T6" s="3"/>
      <c r="U6" s="3"/>
      <c r="V6" s="3"/>
      <c r="W6" s="3"/>
      <c r="X6" s="3"/>
      <c r="Y6" s="3"/>
      <c r="Z6" s="3"/>
    </row>
    <row r="7" spans="1:26" x14ac:dyDescent="0.25">
      <c r="A7" s="3"/>
      <c r="B7" s="3"/>
      <c r="C7" s="3"/>
      <c r="D7" s="3"/>
      <c r="E7" s="3"/>
      <c r="F7" s="3"/>
      <c r="G7" s="3"/>
      <c r="H7" s="3"/>
      <c r="I7" s="3"/>
      <c r="J7" s="3"/>
      <c r="K7" s="3"/>
      <c r="L7" s="3"/>
      <c r="M7" s="3"/>
      <c r="N7" s="3"/>
      <c r="O7" s="3"/>
      <c r="P7" s="3"/>
      <c r="Q7" s="3"/>
      <c r="R7" s="3"/>
      <c r="S7" s="3"/>
      <c r="T7" s="3"/>
      <c r="U7" s="3"/>
      <c r="V7" s="3"/>
      <c r="W7" s="3"/>
      <c r="X7" s="3"/>
      <c r="Y7" s="3"/>
      <c r="Z7" s="3"/>
    </row>
    <row r="8" spans="1:26" x14ac:dyDescent="0.25">
      <c r="A8" s="3"/>
      <c r="B8" s="3"/>
      <c r="C8" s="3"/>
      <c r="D8" s="3"/>
      <c r="E8" s="3"/>
      <c r="F8" s="3"/>
      <c r="G8" s="3"/>
      <c r="H8" s="3"/>
      <c r="I8" s="3"/>
      <c r="J8" s="3"/>
      <c r="K8" s="3"/>
      <c r="L8" s="3"/>
      <c r="M8" s="3"/>
      <c r="N8" s="3"/>
      <c r="O8" s="3"/>
      <c r="P8" s="3"/>
      <c r="Q8" s="3"/>
      <c r="R8" s="3"/>
      <c r="S8" s="3"/>
      <c r="T8" s="3"/>
      <c r="U8" s="3"/>
      <c r="V8" s="3"/>
      <c r="W8" s="3"/>
      <c r="X8" s="3"/>
      <c r="Y8" s="3"/>
      <c r="Z8" s="3"/>
    </row>
    <row r="9" spans="1:26" x14ac:dyDescent="0.25">
      <c r="A9" s="3"/>
      <c r="B9" s="3"/>
      <c r="C9" s="3"/>
      <c r="D9" s="3"/>
      <c r="E9" s="3"/>
      <c r="F9" s="3"/>
      <c r="G9" s="3"/>
      <c r="H9" s="3"/>
      <c r="I9" s="3"/>
      <c r="J9" s="3"/>
      <c r="K9" s="3"/>
      <c r="L9" s="3"/>
      <c r="M9" s="3"/>
      <c r="N9" s="3"/>
      <c r="O9" s="3"/>
      <c r="P9" s="3"/>
      <c r="Q9" s="3"/>
      <c r="R9" s="3"/>
      <c r="S9" s="3"/>
      <c r="T9" s="3"/>
      <c r="U9" s="3"/>
      <c r="V9" s="3"/>
      <c r="W9" s="3"/>
      <c r="X9" s="3"/>
      <c r="Y9" s="3"/>
      <c r="Z9" s="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6222-3CC9-4BF0-BB28-7DD82282D062}">
  <sheetPr>
    <tabColor rgb="FF00B050"/>
  </sheetPr>
  <dimension ref="A1:D28"/>
  <sheetViews>
    <sheetView showGridLines="0" topLeftCell="B4" workbookViewId="0">
      <selection activeCell="N22" sqref="N22"/>
    </sheetView>
  </sheetViews>
  <sheetFormatPr defaultRowHeight="15" x14ac:dyDescent="0.25"/>
  <cols>
    <col min="1" max="1" width="14.5703125" hidden="1" customWidth="1"/>
    <col min="2" max="2" width="14" style="1" customWidth="1"/>
    <col min="3" max="3" width="13.5703125" customWidth="1"/>
    <col min="4" max="4" width="17.140625" customWidth="1"/>
    <col min="18" max="18" width="11.5703125" customWidth="1"/>
  </cols>
  <sheetData>
    <row r="1" spans="1:4" x14ac:dyDescent="0.25">
      <c r="A1" t="s">
        <v>15</v>
      </c>
      <c r="B1" s="1" t="s">
        <v>13</v>
      </c>
      <c r="C1" t="s">
        <v>16</v>
      </c>
      <c r="D1" t="s">
        <v>14</v>
      </c>
    </row>
    <row r="2" spans="1:4" x14ac:dyDescent="0.25">
      <c r="A2" s="4" t="s">
        <v>0</v>
      </c>
      <c r="B2" s="5">
        <v>5910</v>
      </c>
      <c r="C2" s="7">
        <f t="shared" ref="C2:C27" si="0">DATE(LEFT(A2,4), RIGHT(A2,2), 1)</f>
        <v>44562</v>
      </c>
      <c r="D2" s="4"/>
    </row>
    <row r="3" spans="1:4" x14ac:dyDescent="0.25">
      <c r="A3" s="4" t="s">
        <v>1</v>
      </c>
      <c r="B3" s="5">
        <v>8033</v>
      </c>
      <c r="C3" s="7">
        <f t="shared" si="0"/>
        <v>44593</v>
      </c>
      <c r="D3" s="6">
        <f>(B3-B2)/B2</f>
        <v>0.35922165820642976</v>
      </c>
    </row>
    <row r="4" spans="1:4" x14ac:dyDescent="0.25">
      <c r="A4" s="4" t="s">
        <v>2</v>
      </c>
      <c r="B4" s="5">
        <v>13897</v>
      </c>
      <c r="C4" s="7">
        <f t="shared" si="0"/>
        <v>44621</v>
      </c>
      <c r="D4" s="6">
        <f t="shared" ref="D4:D28" si="1">(B4-B3)/B3</f>
        <v>0.72998879621561064</v>
      </c>
    </row>
    <row r="5" spans="1:4" x14ac:dyDescent="0.25">
      <c r="A5" s="4" t="s">
        <v>3</v>
      </c>
      <c r="B5" s="5">
        <v>18649</v>
      </c>
      <c r="C5" s="7">
        <f t="shared" si="0"/>
        <v>44652</v>
      </c>
      <c r="D5" s="6">
        <f t="shared" si="1"/>
        <v>0.34194430452615671</v>
      </c>
    </row>
    <row r="6" spans="1:4" x14ac:dyDescent="0.25">
      <c r="A6" s="4" t="s">
        <v>4</v>
      </c>
      <c r="B6" s="5">
        <v>23595</v>
      </c>
      <c r="C6" s="7">
        <f t="shared" si="0"/>
        <v>44682</v>
      </c>
      <c r="D6" s="6">
        <f t="shared" si="1"/>
        <v>0.26521529304520347</v>
      </c>
    </row>
    <row r="7" spans="1:4" x14ac:dyDescent="0.25">
      <c r="A7" s="4" t="s">
        <v>5</v>
      </c>
      <c r="B7" s="5">
        <v>28237</v>
      </c>
      <c r="C7" s="7">
        <f t="shared" si="0"/>
        <v>44713</v>
      </c>
      <c r="D7" s="6">
        <f t="shared" si="1"/>
        <v>0.19673659673659674</v>
      </c>
    </row>
    <row r="8" spans="1:4" x14ac:dyDescent="0.25">
      <c r="A8" s="4" t="s">
        <v>6</v>
      </c>
      <c r="B8" s="5">
        <v>35715</v>
      </c>
      <c r="C8" s="7">
        <f t="shared" si="0"/>
        <v>44743</v>
      </c>
      <c r="D8" s="6">
        <f t="shared" si="1"/>
        <v>0.26482983319757764</v>
      </c>
    </row>
    <row r="9" spans="1:4" x14ac:dyDescent="0.25">
      <c r="A9" s="4" t="s">
        <v>7</v>
      </c>
      <c r="B9" s="5">
        <v>40087</v>
      </c>
      <c r="C9" s="7">
        <f t="shared" si="0"/>
        <v>44774</v>
      </c>
      <c r="D9" s="6">
        <f t="shared" si="1"/>
        <v>0.12241355172896543</v>
      </c>
    </row>
    <row r="10" spans="1:4" x14ac:dyDescent="0.25">
      <c r="A10" s="4" t="s">
        <v>8</v>
      </c>
      <c r="B10" s="5">
        <v>44068</v>
      </c>
      <c r="C10" s="7">
        <f t="shared" si="0"/>
        <v>44805</v>
      </c>
      <c r="D10" s="6">
        <f t="shared" si="1"/>
        <v>9.9309002918651926E-2</v>
      </c>
    </row>
    <row r="11" spans="1:4" x14ac:dyDescent="0.25">
      <c r="A11" s="4" t="s">
        <v>9</v>
      </c>
      <c r="B11" s="5">
        <v>50374</v>
      </c>
      <c r="C11" s="7">
        <f t="shared" si="0"/>
        <v>44835</v>
      </c>
      <c r="D11" s="6">
        <f t="shared" si="1"/>
        <v>0.14309703185985295</v>
      </c>
    </row>
    <row r="12" spans="1:4" x14ac:dyDescent="0.25">
      <c r="A12" s="4" t="s">
        <v>10</v>
      </c>
      <c r="B12" s="5">
        <v>53662</v>
      </c>
      <c r="C12" s="7">
        <f t="shared" si="0"/>
        <v>44866</v>
      </c>
      <c r="D12" s="6">
        <f t="shared" si="1"/>
        <v>6.5271767181482504E-2</v>
      </c>
    </row>
    <row r="13" spans="1:4" x14ac:dyDescent="0.25">
      <c r="A13" s="4" t="s">
        <v>11</v>
      </c>
      <c r="B13" s="5">
        <v>60544</v>
      </c>
      <c r="C13" s="7">
        <f t="shared" si="0"/>
        <v>44896</v>
      </c>
      <c r="D13" s="6">
        <f t="shared" si="1"/>
        <v>0.12824717677313555</v>
      </c>
    </row>
    <row r="14" spans="1:4" x14ac:dyDescent="0.25">
      <c r="A14" s="4" t="s">
        <v>24</v>
      </c>
      <c r="B14" s="5">
        <v>68452</v>
      </c>
      <c r="C14" s="7">
        <f t="shared" si="0"/>
        <v>44927</v>
      </c>
      <c r="D14" s="6">
        <f t="shared" si="1"/>
        <v>0.13061575052854121</v>
      </c>
    </row>
    <row r="15" spans="1:4" x14ac:dyDescent="0.25">
      <c r="A15" s="4" t="s">
        <v>25</v>
      </c>
      <c r="B15" s="5">
        <v>65569</v>
      </c>
      <c r="C15" s="7">
        <f t="shared" si="0"/>
        <v>44958</v>
      </c>
      <c r="D15" s="6">
        <f t="shared" si="1"/>
        <v>-4.2117103956056799E-2</v>
      </c>
    </row>
    <row r="16" spans="1:4" x14ac:dyDescent="0.25">
      <c r="A16" s="4" t="s">
        <v>26</v>
      </c>
      <c r="B16" s="5">
        <v>73307</v>
      </c>
      <c r="C16" s="7">
        <f t="shared" si="0"/>
        <v>44986</v>
      </c>
      <c r="D16" s="6">
        <f t="shared" si="1"/>
        <v>0.11801308545196663</v>
      </c>
    </row>
    <row r="17" spans="1:4" x14ac:dyDescent="0.25">
      <c r="A17" s="4" t="s">
        <v>27</v>
      </c>
      <c r="B17" s="5">
        <v>76669</v>
      </c>
      <c r="C17" s="7">
        <f t="shared" si="0"/>
        <v>45017</v>
      </c>
      <c r="D17" s="6">
        <f t="shared" si="1"/>
        <v>4.5861923145129387E-2</v>
      </c>
    </row>
    <row r="18" spans="1:4" x14ac:dyDescent="0.25">
      <c r="A18" s="4" t="s">
        <v>28</v>
      </c>
      <c r="B18" s="5">
        <v>82048</v>
      </c>
      <c r="C18" s="7">
        <f t="shared" si="0"/>
        <v>45047</v>
      </c>
      <c r="D18" s="6">
        <f t="shared" si="1"/>
        <v>7.0158734299390887E-2</v>
      </c>
    </row>
    <row r="19" spans="1:4" x14ac:dyDescent="0.25">
      <c r="A19" s="4" t="s">
        <v>29</v>
      </c>
      <c r="B19" s="5">
        <v>80835</v>
      </c>
      <c r="C19" s="7">
        <f t="shared" si="0"/>
        <v>45078</v>
      </c>
      <c r="D19" s="6">
        <f t="shared" si="1"/>
        <v>-1.4784028861154446E-2</v>
      </c>
    </row>
    <row r="20" spans="1:4" x14ac:dyDescent="0.25">
      <c r="A20" s="4" t="s">
        <v>30</v>
      </c>
      <c r="B20" s="5">
        <v>84829</v>
      </c>
      <c r="C20" s="7">
        <f t="shared" si="0"/>
        <v>45108</v>
      </c>
      <c r="D20" s="6">
        <f t="shared" si="1"/>
        <v>4.9409290530092166E-2</v>
      </c>
    </row>
    <row r="21" spans="1:4" x14ac:dyDescent="0.25">
      <c r="A21" s="4" t="s">
        <v>31</v>
      </c>
      <c r="B21" s="5">
        <v>86157</v>
      </c>
      <c r="C21" s="7">
        <f t="shared" si="0"/>
        <v>45139</v>
      </c>
      <c r="D21" s="6">
        <f t="shared" si="1"/>
        <v>1.5655023635784932E-2</v>
      </c>
    </row>
    <row r="22" spans="1:4" x14ac:dyDescent="0.25">
      <c r="A22" s="4" t="s">
        <v>32</v>
      </c>
      <c r="B22" s="5">
        <v>87597</v>
      </c>
      <c r="C22" s="7">
        <f t="shared" si="0"/>
        <v>45170</v>
      </c>
      <c r="D22" s="6">
        <f t="shared" si="1"/>
        <v>1.6713673874438523E-2</v>
      </c>
    </row>
    <row r="23" spans="1:4" x14ac:dyDescent="0.25">
      <c r="A23" s="4" t="s">
        <v>33</v>
      </c>
      <c r="B23" s="5">
        <v>88229</v>
      </c>
      <c r="C23" s="7">
        <f t="shared" si="0"/>
        <v>45200</v>
      </c>
      <c r="D23" s="6">
        <f t="shared" si="1"/>
        <v>7.214858956356953E-3</v>
      </c>
    </row>
    <row r="24" spans="1:4" x14ac:dyDescent="0.25">
      <c r="A24" s="4" t="s">
        <v>34</v>
      </c>
      <c r="B24" s="5">
        <v>83868</v>
      </c>
      <c r="C24" s="7">
        <f t="shared" si="0"/>
        <v>45231</v>
      </c>
      <c r="D24" s="6">
        <f t="shared" si="1"/>
        <v>-4.9428192544401499E-2</v>
      </c>
    </row>
    <row r="25" spans="1:4" x14ac:dyDescent="0.25">
      <c r="A25" s="4" t="s">
        <v>35</v>
      </c>
      <c r="B25" s="5">
        <v>84222</v>
      </c>
      <c r="C25" s="7">
        <f t="shared" si="0"/>
        <v>45261</v>
      </c>
      <c r="D25" s="6">
        <f t="shared" si="1"/>
        <v>4.2209185863499787E-3</v>
      </c>
    </row>
    <row r="26" spans="1:4" x14ac:dyDescent="0.25">
      <c r="A26" s="4" t="s">
        <v>36</v>
      </c>
      <c r="B26" s="5">
        <v>81773</v>
      </c>
      <c r="C26" s="7">
        <f t="shared" si="0"/>
        <v>45292</v>
      </c>
      <c r="D26" s="6">
        <f t="shared" si="1"/>
        <v>-2.9077913134335446E-2</v>
      </c>
    </row>
    <row r="27" spans="1:4" x14ac:dyDescent="0.25">
      <c r="A27" s="4" t="s">
        <v>37</v>
      </c>
      <c r="B27" s="5">
        <v>72611</v>
      </c>
      <c r="C27" s="7">
        <f t="shared" si="0"/>
        <v>45323</v>
      </c>
      <c r="D27" s="6">
        <f t="shared" si="1"/>
        <v>-0.11204187201154416</v>
      </c>
    </row>
    <row r="28" spans="1:4" x14ac:dyDescent="0.25">
      <c r="A28" s="4" t="s">
        <v>12</v>
      </c>
      <c r="B28" s="5">
        <v>76412</v>
      </c>
      <c r="C28" s="7">
        <f>DATE(LEFT(A28,4), RIGHT(A28,2), 1)</f>
        <v>45352</v>
      </c>
      <c r="D28" s="6">
        <f t="shared" si="1"/>
        <v>5.2347440470452138E-2</v>
      </c>
    </row>
  </sheetData>
  <phoneticPr fontId="2" type="noConversion"/>
  <conditionalFormatting sqref="D1:D1048576">
    <cfRule type="colorScale" priority="1">
      <colorScale>
        <cfvo type="min"/>
        <cfvo type="percentile" val="50"/>
        <cfvo type="max"/>
        <color rgb="FFF8696B"/>
        <color theme="0"/>
        <color rgb="FF63BE7B"/>
      </colorScale>
    </cfRule>
    <cfRule type="colorScale" priority="2">
      <colorScale>
        <cfvo type="min"/>
        <cfvo type="percentile" val="50"/>
        <cfvo type="max"/>
        <color rgb="FF63BE7B"/>
        <color rgb="FFFCFCFF"/>
        <color rgb="FFF8696B"/>
      </colorScale>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BC4BB-3A6C-4D01-87B8-7CA96A6AF86D}">
  <sheetPr>
    <tabColor rgb="FFFF0000"/>
  </sheetPr>
  <dimension ref="A1:I9"/>
  <sheetViews>
    <sheetView showGridLines="0" topLeftCell="B1" workbookViewId="0">
      <selection activeCell="I13" sqref="I13"/>
    </sheetView>
  </sheetViews>
  <sheetFormatPr defaultRowHeight="15" x14ac:dyDescent="0.25"/>
  <cols>
    <col min="1" max="1" width="14.85546875" customWidth="1"/>
    <col min="2" max="2" width="15.5703125" customWidth="1"/>
    <col min="3" max="3" width="17.7109375" customWidth="1"/>
    <col min="4" max="4" width="15.5703125" style="2" customWidth="1"/>
    <col min="7" max="7" width="26" customWidth="1"/>
    <col min="8" max="8" width="25.7109375" customWidth="1"/>
    <col min="9" max="9" width="34.28515625" customWidth="1"/>
  </cols>
  <sheetData>
    <row r="1" spans="1:9" ht="20.25" x14ac:dyDescent="0.3">
      <c r="A1" t="s">
        <v>19</v>
      </c>
      <c r="B1" s="17" t="s">
        <v>20</v>
      </c>
      <c r="C1" s="17" t="s">
        <v>21</v>
      </c>
      <c r="D1" s="18" t="s">
        <v>22</v>
      </c>
      <c r="G1" s="12" t="s">
        <v>147</v>
      </c>
      <c r="H1" s="12"/>
      <c r="I1" s="12"/>
    </row>
    <row r="2" spans="1:9" ht="18.75" x14ac:dyDescent="0.3">
      <c r="A2" s="10" t="s">
        <v>17</v>
      </c>
      <c r="B2" s="19">
        <v>225</v>
      </c>
      <c r="C2" s="19">
        <v>214</v>
      </c>
      <c r="D2" s="20">
        <f>C2/(B2+C2)</f>
        <v>0.48747152619589978</v>
      </c>
      <c r="G2" s="25" t="s">
        <v>138</v>
      </c>
      <c r="H2" s="26" t="s">
        <v>139</v>
      </c>
      <c r="I2" s="27" t="s">
        <v>140</v>
      </c>
    </row>
    <row r="3" spans="1:9" x14ac:dyDescent="0.25">
      <c r="A3" s="11" t="s">
        <v>18</v>
      </c>
      <c r="B3" s="21">
        <v>411</v>
      </c>
      <c r="C3" s="21">
        <v>150</v>
      </c>
      <c r="D3" s="22">
        <f>C3/(B3+C3)</f>
        <v>0.26737967914438504</v>
      </c>
      <c r="G3" s="28" t="s">
        <v>141</v>
      </c>
      <c r="H3" s="29">
        <v>128</v>
      </c>
      <c r="I3" s="30">
        <f t="shared" ref="I3:I8" si="0">H3/214</f>
        <v>0.59813084112149528</v>
      </c>
    </row>
    <row r="4" spans="1:9" x14ac:dyDescent="0.25">
      <c r="A4" t="s">
        <v>23</v>
      </c>
      <c r="B4" s="23">
        <v>636</v>
      </c>
      <c r="C4" s="23">
        <v>364</v>
      </c>
      <c r="D4" s="24">
        <f>C4/(B4+C4)</f>
        <v>0.36399999999999999</v>
      </c>
      <c r="G4" s="31" t="s">
        <v>142</v>
      </c>
      <c r="H4" s="17">
        <v>32</v>
      </c>
      <c r="I4" s="32">
        <f t="shared" si="0"/>
        <v>0.14953271028037382</v>
      </c>
    </row>
    <row r="5" spans="1:9" x14ac:dyDescent="0.25">
      <c r="G5" s="33" t="s">
        <v>143</v>
      </c>
      <c r="H5" s="34">
        <v>26</v>
      </c>
      <c r="I5" s="35">
        <f t="shared" si="0"/>
        <v>0.12149532710280374</v>
      </c>
    </row>
    <row r="6" spans="1:9" x14ac:dyDescent="0.25">
      <c r="G6" s="31" t="s">
        <v>144</v>
      </c>
      <c r="H6" s="17">
        <v>18</v>
      </c>
      <c r="I6" s="32">
        <f t="shared" si="0"/>
        <v>8.4112149532710276E-2</v>
      </c>
    </row>
    <row r="7" spans="1:9" x14ac:dyDescent="0.25">
      <c r="G7" s="33" t="s">
        <v>145</v>
      </c>
      <c r="H7" s="34">
        <v>16</v>
      </c>
      <c r="I7" s="35">
        <f t="shared" si="0"/>
        <v>7.476635514018691E-2</v>
      </c>
    </row>
    <row r="8" spans="1:9" x14ac:dyDescent="0.25">
      <c r="G8" s="36" t="s">
        <v>146</v>
      </c>
      <c r="H8" s="37">
        <v>14</v>
      </c>
      <c r="I8" s="38">
        <f t="shared" si="0"/>
        <v>6.5420560747663545E-2</v>
      </c>
    </row>
    <row r="9" spans="1:9" x14ac:dyDescent="0.25">
      <c r="G9" s="15" t="s">
        <v>148</v>
      </c>
      <c r="H9" s="16"/>
      <c r="I9" s="16"/>
    </row>
  </sheetData>
  <mergeCells count="2">
    <mergeCell ref="G1:I1"/>
    <mergeCell ref="G9:I9"/>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86BD-DA62-40B3-A179-7556E24AC745}">
  <sheetPr>
    <tabColor rgb="FFFFFF00"/>
  </sheetPr>
  <dimension ref="A1:T52"/>
  <sheetViews>
    <sheetView tabSelected="1" zoomScaleNormal="100" workbookViewId="0">
      <selection activeCell="G8" sqref="G8"/>
    </sheetView>
  </sheetViews>
  <sheetFormatPr defaultRowHeight="15" x14ac:dyDescent="0.25"/>
  <cols>
    <col min="1" max="1" width="17.28515625" customWidth="1"/>
    <col min="2" max="2" width="14.140625" hidden="1" customWidth="1"/>
    <col min="3" max="3" width="15.85546875" customWidth="1"/>
    <col min="4" max="4" width="16.85546875" customWidth="1"/>
    <col min="5" max="5" width="14.140625" customWidth="1"/>
    <col min="6" max="6" width="10" hidden="1" customWidth="1"/>
    <col min="7" max="7" width="23.28515625" customWidth="1"/>
    <col min="8" max="8" width="15.85546875" hidden="1" customWidth="1"/>
    <col min="9" max="9" width="19.140625" customWidth="1"/>
    <col min="10" max="10" width="14.7109375" hidden="1" customWidth="1"/>
    <col min="11" max="11" width="16.42578125" hidden="1" customWidth="1"/>
    <col min="12" max="12" width="13" hidden="1" customWidth="1"/>
    <col min="13" max="13" width="13.28515625" hidden="1" customWidth="1"/>
    <col min="14" max="14" width="17.140625" hidden="1" customWidth="1"/>
    <col min="15" max="15" width="17.140625" customWidth="1"/>
    <col min="16" max="16" width="17.140625" hidden="1" customWidth="1"/>
    <col min="17" max="17" width="1.85546875" hidden="1" customWidth="1"/>
    <col min="18" max="18" width="22.85546875" customWidth="1"/>
    <col min="19" max="19" width="23" style="39" customWidth="1"/>
    <col min="20" max="20" width="15.85546875" style="40" customWidth="1"/>
  </cols>
  <sheetData>
    <row r="1" spans="1:20" ht="15" customHeight="1" x14ac:dyDescent="0.3">
      <c r="A1" s="44" t="s">
        <v>150</v>
      </c>
      <c r="B1" s="13"/>
      <c r="C1" s="13"/>
      <c r="D1" s="13"/>
      <c r="E1" s="13"/>
      <c r="F1" s="13"/>
      <c r="G1" s="13"/>
      <c r="H1" s="13"/>
      <c r="I1" s="13"/>
      <c r="J1" s="13"/>
      <c r="K1" s="13"/>
      <c r="L1" s="13"/>
      <c r="M1" s="13"/>
      <c r="N1" s="13"/>
      <c r="O1" s="13"/>
      <c r="P1" s="13"/>
      <c r="Q1" s="13"/>
      <c r="R1" s="13"/>
      <c r="S1" s="13"/>
      <c r="T1" s="13"/>
    </row>
    <row r="2" spans="1:20" x14ac:dyDescent="0.25">
      <c r="A2" s="45" t="s">
        <v>151</v>
      </c>
      <c r="B2" s="14"/>
      <c r="C2" s="14"/>
      <c r="D2" s="14"/>
      <c r="E2" s="14"/>
      <c r="F2" s="14"/>
      <c r="G2" s="14"/>
      <c r="H2" s="14"/>
      <c r="I2" s="14"/>
      <c r="J2" s="14"/>
      <c r="K2" s="14"/>
      <c r="L2" s="14"/>
      <c r="M2" s="14"/>
      <c r="N2" s="14"/>
      <c r="O2" s="14"/>
      <c r="P2" s="14"/>
      <c r="Q2" s="14"/>
      <c r="R2" s="14"/>
      <c r="S2" s="14"/>
      <c r="T2" s="14"/>
    </row>
    <row r="3" spans="1:20" ht="27.95" customHeight="1" x14ac:dyDescent="0.25">
      <c r="A3" s="41" t="s">
        <v>38</v>
      </c>
      <c r="B3" s="41" t="s">
        <v>39</v>
      </c>
      <c r="C3" s="41" t="s">
        <v>40</v>
      </c>
      <c r="D3" s="41" t="s">
        <v>41</v>
      </c>
      <c r="E3" s="41" t="s">
        <v>42</v>
      </c>
      <c r="F3" s="41" t="s">
        <v>43</v>
      </c>
      <c r="G3" s="41" t="s">
        <v>44</v>
      </c>
      <c r="H3" s="41" t="s">
        <v>45</v>
      </c>
      <c r="I3" s="41" t="s">
        <v>46</v>
      </c>
      <c r="J3" s="41" t="s">
        <v>47</v>
      </c>
      <c r="K3" s="41" t="s">
        <v>48</v>
      </c>
      <c r="L3" s="41" t="s">
        <v>49</v>
      </c>
      <c r="M3" s="41" t="s">
        <v>50</v>
      </c>
      <c r="N3" s="41" t="s">
        <v>51</v>
      </c>
      <c r="O3" s="41" t="s">
        <v>52</v>
      </c>
      <c r="P3" s="41" t="s">
        <v>53</v>
      </c>
      <c r="Q3" s="41" t="s">
        <v>54</v>
      </c>
      <c r="R3" s="41" t="s">
        <v>134</v>
      </c>
      <c r="S3" s="42" t="s">
        <v>55</v>
      </c>
      <c r="T3" s="43" t="s">
        <v>149</v>
      </c>
    </row>
    <row r="4" spans="1:20" x14ac:dyDescent="0.25">
      <c r="A4" s="9" t="s">
        <v>56</v>
      </c>
      <c r="B4" s="8">
        <v>44880</v>
      </c>
      <c r="C4" s="9" t="s">
        <v>57</v>
      </c>
      <c r="D4" s="9" t="s">
        <v>17</v>
      </c>
      <c r="E4" s="9" t="s">
        <v>58</v>
      </c>
      <c r="F4" s="9" t="s">
        <v>59</v>
      </c>
      <c r="G4" s="9" t="s">
        <v>60</v>
      </c>
      <c r="H4" s="9" t="s">
        <v>135</v>
      </c>
      <c r="I4" s="9"/>
      <c r="J4" s="9">
        <v>1430</v>
      </c>
      <c r="K4" s="9">
        <v>1430</v>
      </c>
      <c r="L4" s="9">
        <v>0</v>
      </c>
      <c r="M4" s="8"/>
      <c r="N4" s="9">
        <v>16</v>
      </c>
      <c r="O4" s="9">
        <v>65</v>
      </c>
      <c r="P4" s="9">
        <v>2</v>
      </c>
      <c r="Q4" s="9" t="s">
        <v>137</v>
      </c>
      <c r="R4" s="9">
        <v>2</v>
      </c>
      <c r="S4" s="39">
        <v>0.93</v>
      </c>
      <c r="T4" s="40" t="str">
        <f>IF(S4&gt;=0.8," Critical",IF(S4&gt;=0.65,"High",IF(S4&gt;=0.5,"Medium"," Low")))</f>
        <v xml:space="preserve"> Critical</v>
      </c>
    </row>
    <row r="5" spans="1:20" x14ac:dyDescent="0.25">
      <c r="A5" s="9" t="s">
        <v>61</v>
      </c>
      <c r="B5" s="8">
        <v>44583</v>
      </c>
      <c r="C5" s="9" t="s">
        <v>62</v>
      </c>
      <c r="D5" s="9" t="s">
        <v>17</v>
      </c>
      <c r="E5" s="9" t="s">
        <v>63</v>
      </c>
      <c r="F5" s="9" t="s">
        <v>64</v>
      </c>
      <c r="G5" s="9" t="s">
        <v>60</v>
      </c>
      <c r="H5" s="9" t="s">
        <v>135</v>
      </c>
      <c r="I5" s="9">
        <v>29</v>
      </c>
      <c r="J5" s="9">
        <v>278</v>
      </c>
      <c r="K5" s="9">
        <v>278</v>
      </c>
      <c r="L5" s="9">
        <v>0</v>
      </c>
      <c r="M5" s="8"/>
      <c r="N5" s="9">
        <v>26</v>
      </c>
      <c r="O5" s="9">
        <v>40</v>
      </c>
      <c r="P5" s="9">
        <v>2</v>
      </c>
      <c r="Q5" s="9" t="s">
        <v>137</v>
      </c>
      <c r="R5" s="9">
        <v>2</v>
      </c>
      <c r="S5" s="39">
        <v>0.91000000000000014</v>
      </c>
      <c r="T5" s="40" t="str">
        <f t="shared" ref="T4:T35" si="0">IF(S5&gt;=0.8," Critical",IF(S5&gt;=0.65,"High",IF(S5&gt;=0.5,"Medium"," Low")))</f>
        <v xml:space="preserve"> Critical</v>
      </c>
    </row>
    <row r="6" spans="1:20" x14ac:dyDescent="0.25">
      <c r="A6" s="9" t="s">
        <v>65</v>
      </c>
      <c r="B6" s="8">
        <v>45162</v>
      </c>
      <c r="C6" s="9" t="s">
        <v>62</v>
      </c>
      <c r="D6" s="9" t="s">
        <v>17</v>
      </c>
      <c r="E6" s="9" t="s">
        <v>66</v>
      </c>
      <c r="F6" s="9" t="s">
        <v>67</v>
      </c>
      <c r="G6" s="9" t="s">
        <v>68</v>
      </c>
      <c r="H6" s="9" t="s">
        <v>136</v>
      </c>
      <c r="I6" s="9">
        <v>29</v>
      </c>
      <c r="J6" s="9">
        <v>278</v>
      </c>
      <c r="K6" s="9">
        <v>278</v>
      </c>
      <c r="L6" s="9">
        <v>0</v>
      </c>
      <c r="M6" s="8">
        <v>45382</v>
      </c>
      <c r="N6" s="9">
        <v>14</v>
      </c>
      <c r="O6" s="9">
        <v>82</v>
      </c>
      <c r="P6" s="9">
        <v>3</v>
      </c>
      <c r="Q6" s="9" t="s">
        <v>137</v>
      </c>
      <c r="R6" s="9">
        <v>3</v>
      </c>
      <c r="S6" s="39">
        <v>0.88</v>
      </c>
      <c r="T6" s="40" t="str">
        <f t="shared" si="0"/>
        <v xml:space="preserve"> Critical</v>
      </c>
    </row>
    <row r="7" spans="1:20" x14ac:dyDescent="0.25">
      <c r="A7" s="9" t="s">
        <v>69</v>
      </c>
      <c r="B7" s="8">
        <v>44915</v>
      </c>
      <c r="C7" s="9" t="s">
        <v>62</v>
      </c>
      <c r="D7" s="9" t="s">
        <v>18</v>
      </c>
      <c r="E7" s="9" t="s">
        <v>66</v>
      </c>
      <c r="F7" s="9" t="s">
        <v>70</v>
      </c>
      <c r="G7" s="9" t="s">
        <v>71</v>
      </c>
      <c r="H7" s="9" t="s">
        <v>136</v>
      </c>
      <c r="I7" s="9">
        <v>29</v>
      </c>
      <c r="J7" s="9">
        <v>278</v>
      </c>
      <c r="K7" s="9">
        <v>29</v>
      </c>
      <c r="L7" s="9">
        <v>0</v>
      </c>
      <c r="M7" s="8"/>
      <c r="N7" s="9">
        <v>15</v>
      </c>
      <c r="O7" s="9">
        <v>41</v>
      </c>
      <c r="P7" s="9">
        <v>1</v>
      </c>
      <c r="Q7" s="9" t="s">
        <v>137</v>
      </c>
      <c r="R7" s="9">
        <v>1</v>
      </c>
      <c r="S7" s="39">
        <v>0.85666666666666658</v>
      </c>
      <c r="T7" s="40" t="str">
        <f t="shared" si="0"/>
        <v xml:space="preserve"> Critical</v>
      </c>
    </row>
    <row r="8" spans="1:20" x14ac:dyDescent="0.25">
      <c r="A8" s="9" t="s">
        <v>72</v>
      </c>
      <c r="B8" s="8">
        <v>45187</v>
      </c>
      <c r="C8" s="9" t="s">
        <v>73</v>
      </c>
      <c r="D8" s="9" t="s">
        <v>17</v>
      </c>
      <c r="E8" s="9" t="s">
        <v>66</v>
      </c>
      <c r="F8" s="9" t="s">
        <v>59</v>
      </c>
      <c r="G8" s="9" t="s">
        <v>74</v>
      </c>
      <c r="H8" s="9" t="s">
        <v>136</v>
      </c>
      <c r="I8" s="9">
        <v>79</v>
      </c>
      <c r="J8" s="9">
        <v>758</v>
      </c>
      <c r="K8" s="9">
        <v>758</v>
      </c>
      <c r="L8" s="9">
        <v>0</v>
      </c>
      <c r="M8" s="8"/>
      <c r="N8" s="9">
        <v>6</v>
      </c>
      <c r="O8" s="9">
        <v>62</v>
      </c>
      <c r="P8" s="9">
        <v>0</v>
      </c>
      <c r="Q8" s="9" t="s">
        <v>137</v>
      </c>
      <c r="R8" s="9">
        <v>0</v>
      </c>
      <c r="S8" s="39">
        <v>0.81</v>
      </c>
      <c r="T8" s="40" t="str">
        <f t="shared" si="0"/>
        <v xml:space="preserve"> Critical</v>
      </c>
    </row>
    <row r="9" spans="1:20" x14ac:dyDescent="0.25">
      <c r="A9" s="9" t="s">
        <v>75</v>
      </c>
      <c r="B9" s="8">
        <v>44916</v>
      </c>
      <c r="C9" s="9" t="s">
        <v>62</v>
      </c>
      <c r="D9" s="9" t="s">
        <v>17</v>
      </c>
      <c r="E9" s="9" t="s">
        <v>58</v>
      </c>
      <c r="F9" s="9" t="s">
        <v>59</v>
      </c>
      <c r="G9" s="9" t="s">
        <v>76</v>
      </c>
      <c r="H9" s="9" t="s">
        <v>77</v>
      </c>
      <c r="I9" s="9">
        <v>29</v>
      </c>
      <c r="J9" s="9">
        <v>278</v>
      </c>
      <c r="K9" s="9">
        <v>278</v>
      </c>
      <c r="L9" s="9">
        <v>0</v>
      </c>
      <c r="M9" s="8"/>
      <c r="N9" s="9">
        <v>15</v>
      </c>
      <c r="O9" s="9">
        <v>54</v>
      </c>
      <c r="P9" s="9">
        <v>1</v>
      </c>
      <c r="Q9" s="9" t="s">
        <v>137</v>
      </c>
      <c r="R9" s="9">
        <v>1</v>
      </c>
      <c r="S9" s="39">
        <v>0.80777777777777782</v>
      </c>
      <c r="T9" s="40" t="str">
        <f>IF(S9&gt;=0.8," Critical",IF(S9&gt;=0.65,"High",IF(S9&gt;=0.5,"Medium"," Low")))</f>
        <v xml:space="preserve"> Critical</v>
      </c>
    </row>
    <row r="10" spans="1:20" x14ac:dyDescent="0.25">
      <c r="A10" s="9" t="s">
        <v>78</v>
      </c>
      <c r="B10" s="8">
        <v>44639</v>
      </c>
      <c r="C10" s="9" t="s">
        <v>57</v>
      </c>
      <c r="D10" s="9" t="s">
        <v>18</v>
      </c>
      <c r="E10" s="9" t="s">
        <v>58</v>
      </c>
      <c r="F10" s="9" t="s">
        <v>79</v>
      </c>
      <c r="G10" s="9" t="s">
        <v>68</v>
      </c>
      <c r="H10" s="9" t="s">
        <v>80</v>
      </c>
      <c r="I10" s="9">
        <v>149</v>
      </c>
      <c r="J10" s="9">
        <v>1430</v>
      </c>
      <c r="K10" s="9">
        <v>149</v>
      </c>
      <c r="L10" s="9">
        <v>0</v>
      </c>
      <c r="M10" s="8"/>
      <c r="N10" s="9">
        <v>24</v>
      </c>
      <c r="O10" s="9">
        <v>45</v>
      </c>
      <c r="P10" s="9">
        <v>2</v>
      </c>
      <c r="Q10" s="9" t="s">
        <v>137</v>
      </c>
      <c r="R10" s="9">
        <v>2</v>
      </c>
      <c r="S10" s="39">
        <v>0.79235714285714265</v>
      </c>
      <c r="T10" s="40" t="str">
        <f t="shared" si="0"/>
        <v>High</v>
      </c>
    </row>
    <row r="11" spans="1:20" x14ac:dyDescent="0.25">
      <c r="A11" s="9" t="s">
        <v>81</v>
      </c>
      <c r="B11" s="8">
        <v>44740</v>
      </c>
      <c r="C11" s="9" t="s">
        <v>73</v>
      </c>
      <c r="D11" s="9" t="s">
        <v>17</v>
      </c>
      <c r="E11" s="9" t="s">
        <v>63</v>
      </c>
      <c r="F11" s="9" t="s">
        <v>79</v>
      </c>
      <c r="G11" s="9" t="s">
        <v>71</v>
      </c>
      <c r="H11" s="9" t="s">
        <v>77</v>
      </c>
      <c r="I11" s="9">
        <v>79</v>
      </c>
      <c r="J11" s="9">
        <v>758</v>
      </c>
      <c r="K11" s="9">
        <v>758</v>
      </c>
      <c r="L11" s="9">
        <v>0</v>
      </c>
      <c r="M11" s="8"/>
      <c r="N11" s="9">
        <v>21</v>
      </c>
      <c r="O11" s="9">
        <v>35</v>
      </c>
      <c r="P11" s="9">
        <v>3</v>
      </c>
      <c r="Q11" s="9" t="s">
        <v>137</v>
      </c>
      <c r="R11" s="9">
        <v>3</v>
      </c>
      <c r="S11" s="39">
        <v>0.74672619047619038</v>
      </c>
      <c r="T11" s="40" t="str">
        <f t="shared" si="0"/>
        <v>High</v>
      </c>
    </row>
    <row r="12" spans="1:20" x14ac:dyDescent="0.25">
      <c r="A12" s="9" t="s">
        <v>82</v>
      </c>
      <c r="B12" s="8">
        <v>45191</v>
      </c>
      <c r="C12" s="9" t="s">
        <v>83</v>
      </c>
      <c r="D12" s="9" t="s">
        <v>17</v>
      </c>
      <c r="E12" s="9" t="s">
        <v>58</v>
      </c>
      <c r="F12" s="9" t="s">
        <v>64</v>
      </c>
      <c r="G12" s="9" t="s">
        <v>76</v>
      </c>
      <c r="H12" s="9" t="s">
        <v>136</v>
      </c>
      <c r="I12" s="9">
        <v>299</v>
      </c>
      <c r="J12" s="9">
        <v>2870</v>
      </c>
      <c r="K12" s="9">
        <v>2870</v>
      </c>
      <c r="L12" s="9">
        <v>0</v>
      </c>
      <c r="M12" s="8"/>
      <c r="N12" s="9">
        <v>6</v>
      </c>
      <c r="O12" s="9">
        <v>60</v>
      </c>
      <c r="P12" s="9">
        <v>0</v>
      </c>
      <c r="Q12" s="9" t="s">
        <v>137</v>
      </c>
      <c r="R12" s="9">
        <v>0</v>
      </c>
      <c r="S12" s="39">
        <v>0.74091197691197652</v>
      </c>
      <c r="T12" s="40" t="str">
        <f t="shared" si="0"/>
        <v>High</v>
      </c>
    </row>
    <row r="13" spans="1:20" x14ac:dyDescent="0.25">
      <c r="A13" s="9" t="s">
        <v>84</v>
      </c>
      <c r="B13" s="8">
        <v>44855</v>
      </c>
      <c r="C13" s="9" t="s">
        <v>83</v>
      </c>
      <c r="D13" s="9" t="s">
        <v>17</v>
      </c>
      <c r="E13" s="9" t="s">
        <v>66</v>
      </c>
      <c r="F13" s="9" t="s">
        <v>59</v>
      </c>
      <c r="G13" s="9" t="s">
        <v>76</v>
      </c>
      <c r="H13" s="9" t="s">
        <v>77</v>
      </c>
      <c r="I13">
        <v>299</v>
      </c>
      <c r="J13">
        <v>2870</v>
      </c>
      <c r="K13">
        <v>2870</v>
      </c>
      <c r="L13">
        <v>0</v>
      </c>
      <c r="M13" s="8"/>
      <c r="N13">
        <v>17</v>
      </c>
      <c r="O13">
        <v>60</v>
      </c>
      <c r="P13">
        <v>0</v>
      </c>
      <c r="Q13" s="9" t="s">
        <v>137</v>
      </c>
      <c r="R13">
        <v>0</v>
      </c>
      <c r="S13" s="39">
        <v>0.74091197691197652</v>
      </c>
      <c r="T13" s="40" t="str">
        <f t="shared" si="0"/>
        <v>High</v>
      </c>
    </row>
    <row r="14" spans="1:20" x14ac:dyDescent="0.25">
      <c r="A14" s="9" t="s">
        <v>85</v>
      </c>
      <c r="B14" s="8">
        <v>44801</v>
      </c>
      <c r="C14" s="9" t="s">
        <v>83</v>
      </c>
      <c r="D14" s="9" t="s">
        <v>18</v>
      </c>
      <c r="E14" s="9" t="s">
        <v>58</v>
      </c>
      <c r="F14" s="9" t="s">
        <v>86</v>
      </c>
      <c r="G14" s="9" t="s">
        <v>68</v>
      </c>
      <c r="H14" s="9" t="s">
        <v>77</v>
      </c>
      <c r="I14">
        <v>299</v>
      </c>
      <c r="J14">
        <v>2870</v>
      </c>
      <c r="K14">
        <v>299</v>
      </c>
      <c r="L14">
        <v>0</v>
      </c>
      <c r="M14" s="8"/>
      <c r="N14">
        <v>19</v>
      </c>
      <c r="O14">
        <v>42</v>
      </c>
      <c r="P14">
        <v>3</v>
      </c>
      <c r="Q14" s="9" t="s">
        <v>137</v>
      </c>
      <c r="R14">
        <v>3</v>
      </c>
      <c r="S14" s="39">
        <v>0.71633333333333327</v>
      </c>
      <c r="T14" s="40" t="str">
        <f t="shared" si="0"/>
        <v>High</v>
      </c>
    </row>
    <row r="15" spans="1:20" x14ac:dyDescent="0.25">
      <c r="A15" s="9" t="s">
        <v>87</v>
      </c>
      <c r="B15" s="8">
        <v>44602</v>
      </c>
      <c r="C15" s="9" t="s">
        <v>62</v>
      </c>
      <c r="D15" s="9" t="s">
        <v>18</v>
      </c>
      <c r="E15" s="9" t="s">
        <v>88</v>
      </c>
      <c r="F15" s="9" t="s">
        <v>67</v>
      </c>
      <c r="G15" s="9" t="s">
        <v>68</v>
      </c>
      <c r="H15" s="9" t="s">
        <v>80</v>
      </c>
      <c r="I15">
        <v>29</v>
      </c>
      <c r="J15">
        <v>278</v>
      </c>
      <c r="K15">
        <v>29</v>
      </c>
      <c r="L15">
        <v>0</v>
      </c>
      <c r="M15" s="8"/>
      <c r="N15">
        <v>26</v>
      </c>
      <c r="O15">
        <v>52</v>
      </c>
      <c r="P15">
        <v>1</v>
      </c>
      <c r="Q15" s="9" t="s">
        <v>137</v>
      </c>
      <c r="R15">
        <v>1</v>
      </c>
      <c r="S15" s="39">
        <v>0.71400000000000008</v>
      </c>
      <c r="T15" s="40" t="str">
        <f t="shared" si="0"/>
        <v>High</v>
      </c>
    </row>
    <row r="16" spans="1:20" x14ac:dyDescent="0.25">
      <c r="A16" s="9" t="s">
        <v>89</v>
      </c>
      <c r="B16" s="8">
        <v>44670</v>
      </c>
      <c r="C16" s="9" t="s">
        <v>73</v>
      </c>
      <c r="D16" s="9" t="s">
        <v>17</v>
      </c>
      <c r="E16" s="9" t="s">
        <v>63</v>
      </c>
      <c r="F16" s="9" t="s">
        <v>64</v>
      </c>
      <c r="G16" s="9" t="s">
        <v>74</v>
      </c>
      <c r="H16" s="9" t="s">
        <v>77</v>
      </c>
      <c r="I16">
        <v>79</v>
      </c>
      <c r="J16">
        <v>758</v>
      </c>
      <c r="K16">
        <v>758</v>
      </c>
      <c r="L16">
        <v>0</v>
      </c>
      <c r="M16" s="8"/>
      <c r="N16">
        <v>23</v>
      </c>
      <c r="O16">
        <v>63</v>
      </c>
      <c r="P16">
        <v>1</v>
      </c>
      <c r="Q16" s="9" t="s">
        <v>137</v>
      </c>
      <c r="R16">
        <v>1</v>
      </c>
      <c r="S16" s="39">
        <v>0.70043939393939414</v>
      </c>
      <c r="T16" s="40" t="str">
        <f t="shared" si="0"/>
        <v>High</v>
      </c>
    </row>
    <row r="17" spans="1:20" x14ac:dyDescent="0.25">
      <c r="A17" s="9" t="s">
        <v>90</v>
      </c>
      <c r="B17" s="8">
        <v>44611</v>
      </c>
      <c r="C17" s="9" t="s">
        <v>73</v>
      </c>
      <c r="D17" s="9" t="s">
        <v>17</v>
      </c>
      <c r="E17" s="9" t="s">
        <v>91</v>
      </c>
      <c r="F17" s="9" t="s">
        <v>92</v>
      </c>
      <c r="G17" s="9" t="s">
        <v>74</v>
      </c>
      <c r="H17" s="9" t="s">
        <v>135</v>
      </c>
      <c r="I17">
        <v>79</v>
      </c>
      <c r="J17">
        <v>758</v>
      </c>
      <c r="K17">
        <v>758</v>
      </c>
      <c r="L17">
        <v>0</v>
      </c>
      <c r="M17" s="8"/>
      <c r="N17">
        <v>25</v>
      </c>
      <c r="O17">
        <v>44</v>
      </c>
      <c r="P17">
        <v>2</v>
      </c>
      <c r="Q17" s="9" t="s">
        <v>137</v>
      </c>
      <c r="R17">
        <v>2</v>
      </c>
      <c r="S17" s="39">
        <v>0.67700000000000005</v>
      </c>
      <c r="T17" s="40" t="str">
        <f t="shared" si="0"/>
        <v>High</v>
      </c>
    </row>
    <row r="18" spans="1:20" x14ac:dyDescent="0.25">
      <c r="A18" s="9" t="s">
        <v>93</v>
      </c>
      <c r="B18" s="8">
        <v>44752</v>
      </c>
      <c r="C18" s="9" t="s">
        <v>83</v>
      </c>
      <c r="D18" s="9" t="s">
        <v>17</v>
      </c>
      <c r="E18" s="9" t="s">
        <v>63</v>
      </c>
      <c r="F18" s="9" t="s">
        <v>64</v>
      </c>
      <c r="G18" s="9" t="s">
        <v>68</v>
      </c>
      <c r="H18" s="9" t="s">
        <v>136</v>
      </c>
      <c r="I18">
        <v>299</v>
      </c>
      <c r="J18">
        <v>2870</v>
      </c>
      <c r="K18">
        <v>2870</v>
      </c>
      <c r="L18">
        <v>0</v>
      </c>
      <c r="M18" s="8"/>
      <c r="N18">
        <v>21</v>
      </c>
      <c r="O18">
        <v>79</v>
      </c>
      <c r="P18">
        <v>0</v>
      </c>
      <c r="Q18" s="9" t="s">
        <v>137</v>
      </c>
      <c r="R18">
        <v>0</v>
      </c>
      <c r="S18" s="39">
        <v>0.64923809523809506</v>
      </c>
      <c r="T18" s="40" t="str">
        <f t="shared" si="0"/>
        <v>Medium</v>
      </c>
    </row>
    <row r="19" spans="1:20" x14ac:dyDescent="0.25">
      <c r="A19" s="9" t="s">
        <v>94</v>
      </c>
      <c r="B19" s="8">
        <v>44968</v>
      </c>
      <c r="C19" s="9" t="s">
        <v>73</v>
      </c>
      <c r="D19" s="9" t="s">
        <v>17</v>
      </c>
      <c r="E19" s="9" t="s">
        <v>95</v>
      </c>
      <c r="F19" s="9" t="s">
        <v>92</v>
      </c>
      <c r="G19" s="9" t="s">
        <v>68</v>
      </c>
      <c r="H19" s="9" t="s">
        <v>77</v>
      </c>
      <c r="I19">
        <v>79</v>
      </c>
      <c r="J19">
        <v>758</v>
      </c>
      <c r="K19">
        <v>758</v>
      </c>
      <c r="L19">
        <v>0</v>
      </c>
      <c r="M19" s="8"/>
      <c r="N19">
        <v>13</v>
      </c>
      <c r="O19">
        <v>39</v>
      </c>
      <c r="P19">
        <v>2</v>
      </c>
      <c r="Q19" s="9" t="s">
        <v>137</v>
      </c>
      <c r="R19">
        <v>2</v>
      </c>
      <c r="S19" s="39">
        <v>0.64714285714285691</v>
      </c>
      <c r="T19" s="40" t="str">
        <f t="shared" si="0"/>
        <v>Medium</v>
      </c>
    </row>
    <row r="20" spans="1:20" x14ac:dyDescent="0.25">
      <c r="A20" s="9" t="s">
        <v>96</v>
      </c>
      <c r="B20" s="8">
        <v>44791</v>
      </c>
      <c r="C20" s="9" t="s">
        <v>62</v>
      </c>
      <c r="D20" s="9" t="s">
        <v>17</v>
      </c>
      <c r="E20" s="9" t="s">
        <v>95</v>
      </c>
      <c r="F20" s="9" t="s">
        <v>92</v>
      </c>
      <c r="G20" s="9" t="s">
        <v>60</v>
      </c>
      <c r="H20" s="9" t="s">
        <v>136</v>
      </c>
      <c r="I20">
        <v>29</v>
      </c>
      <c r="J20">
        <v>278</v>
      </c>
      <c r="K20">
        <v>278</v>
      </c>
      <c r="L20">
        <v>0</v>
      </c>
      <c r="M20" s="8"/>
      <c r="N20">
        <v>19</v>
      </c>
      <c r="O20">
        <v>44</v>
      </c>
      <c r="P20">
        <v>3</v>
      </c>
      <c r="Q20" s="9" t="s">
        <v>137</v>
      </c>
      <c r="R20">
        <v>3</v>
      </c>
      <c r="S20" s="39">
        <v>0.64347619047619031</v>
      </c>
      <c r="T20" s="40" t="str">
        <f t="shared" si="0"/>
        <v>Medium</v>
      </c>
    </row>
    <row r="21" spans="1:20" x14ac:dyDescent="0.25">
      <c r="A21" s="9" t="s">
        <v>97</v>
      </c>
      <c r="B21" s="8">
        <v>45058</v>
      </c>
      <c r="C21" s="9" t="s">
        <v>62</v>
      </c>
      <c r="D21" s="9" t="s">
        <v>17</v>
      </c>
      <c r="E21" s="9" t="s">
        <v>63</v>
      </c>
      <c r="F21" s="9" t="s">
        <v>59</v>
      </c>
      <c r="G21" s="9" t="s">
        <v>60</v>
      </c>
      <c r="H21" s="9" t="s">
        <v>98</v>
      </c>
      <c r="I21">
        <v>29</v>
      </c>
      <c r="J21">
        <v>278</v>
      </c>
      <c r="K21">
        <v>278</v>
      </c>
      <c r="L21">
        <v>0</v>
      </c>
      <c r="M21" s="8">
        <v>45382</v>
      </c>
      <c r="N21">
        <v>16</v>
      </c>
      <c r="O21">
        <v>44</v>
      </c>
      <c r="P21">
        <v>3</v>
      </c>
      <c r="Q21" s="9" t="s">
        <v>137</v>
      </c>
      <c r="R21">
        <v>3</v>
      </c>
      <c r="S21" s="39">
        <v>0.64347619047619031</v>
      </c>
      <c r="T21" s="40" t="str">
        <f t="shared" si="0"/>
        <v>Medium</v>
      </c>
    </row>
    <row r="22" spans="1:20" x14ac:dyDescent="0.25">
      <c r="A22" s="9" t="s">
        <v>99</v>
      </c>
      <c r="B22" s="8">
        <v>45133</v>
      </c>
      <c r="C22" s="9" t="s">
        <v>57</v>
      </c>
      <c r="D22" s="9" t="s">
        <v>17</v>
      </c>
      <c r="E22" s="9" t="s">
        <v>88</v>
      </c>
      <c r="F22" s="9" t="s">
        <v>86</v>
      </c>
      <c r="G22" s="9" t="s">
        <v>74</v>
      </c>
      <c r="H22" s="9" t="s">
        <v>77</v>
      </c>
      <c r="I22">
        <v>149</v>
      </c>
      <c r="J22">
        <v>1430</v>
      </c>
      <c r="K22">
        <v>1430</v>
      </c>
      <c r="L22">
        <v>0</v>
      </c>
      <c r="M22" s="8"/>
      <c r="N22">
        <v>8</v>
      </c>
      <c r="O22">
        <v>45</v>
      </c>
      <c r="P22">
        <v>3</v>
      </c>
      <c r="Q22" s="9" t="s">
        <v>137</v>
      </c>
      <c r="R22">
        <v>3</v>
      </c>
      <c r="S22" s="39">
        <v>0.64123809523809516</v>
      </c>
      <c r="T22" s="40" t="str">
        <f t="shared" si="0"/>
        <v>Medium</v>
      </c>
    </row>
    <row r="23" spans="1:20" x14ac:dyDescent="0.25">
      <c r="A23" s="9" t="s">
        <v>100</v>
      </c>
      <c r="B23" s="8">
        <v>45160</v>
      </c>
      <c r="C23" s="9" t="s">
        <v>57</v>
      </c>
      <c r="D23" s="9" t="s">
        <v>17</v>
      </c>
      <c r="E23" s="9" t="s">
        <v>63</v>
      </c>
      <c r="F23" s="9" t="s">
        <v>92</v>
      </c>
      <c r="G23" s="9" t="s">
        <v>60</v>
      </c>
      <c r="H23" s="9" t="s">
        <v>135</v>
      </c>
      <c r="I23">
        <v>149</v>
      </c>
      <c r="J23">
        <v>1430</v>
      </c>
      <c r="K23">
        <v>1430</v>
      </c>
      <c r="L23">
        <v>0</v>
      </c>
      <c r="M23" s="8"/>
      <c r="N23">
        <v>7</v>
      </c>
      <c r="O23">
        <v>47</v>
      </c>
      <c r="P23">
        <v>2</v>
      </c>
      <c r="Q23" s="9" t="s">
        <v>137</v>
      </c>
      <c r="R23">
        <v>2</v>
      </c>
      <c r="S23" s="39">
        <v>0.64115873015873004</v>
      </c>
      <c r="T23" s="40" t="str">
        <f t="shared" si="0"/>
        <v>Medium</v>
      </c>
    </row>
    <row r="24" spans="1:20" x14ac:dyDescent="0.25">
      <c r="A24" s="9" t="s">
        <v>101</v>
      </c>
      <c r="B24" s="8">
        <v>44986</v>
      </c>
      <c r="C24" s="9" t="s">
        <v>57</v>
      </c>
      <c r="D24" s="9" t="s">
        <v>17</v>
      </c>
      <c r="E24" s="9" t="s">
        <v>102</v>
      </c>
      <c r="F24" s="9" t="s">
        <v>67</v>
      </c>
      <c r="G24" s="9" t="s">
        <v>68</v>
      </c>
      <c r="H24" s="9" t="s">
        <v>135</v>
      </c>
      <c r="I24">
        <v>149</v>
      </c>
      <c r="J24">
        <v>1430</v>
      </c>
      <c r="K24">
        <v>1430</v>
      </c>
      <c r="L24">
        <v>0</v>
      </c>
      <c r="M24" s="8">
        <v>45382</v>
      </c>
      <c r="N24">
        <v>17</v>
      </c>
      <c r="O24">
        <v>54</v>
      </c>
      <c r="P24">
        <v>3</v>
      </c>
      <c r="Q24" s="9" t="s">
        <v>137</v>
      </c>
      <c r="R24">
        <v>3</v>
      </c>
      <c r="S24" s="39">
        <v>0.63400000000000001</v>
      </c>
      <c r="T24" s="40" t="str">
        <f t="shared" si="0"/>
        <v>Medium</v>
      </c>
    </row>
    <row r="25" spans="1:20" x14ac:dyDescent="0.25">
      <c r="A25" s="9" t="s">
        <v>103</v>
      </c>
      <c r="B25" s="8">
        <v>44662</v>
      </c>
      <c r="C25" s="9" t="s">
        <v>73</v>
      </c>
      <c r="D25" s="9" t="s">
        <v>17</v>
      </c>
      <c r="E25" s="9" t="s">
        <v>104</v>
      </c>
      <c r="F25" s="9" t="s">
        <v>59</v>
      </c>
      <c r="G25" s="9" t="s">
        <v>71</v>
      </c>
      <c r="H25" s="9" t="s">
        <v>77</v>
      </c>
      <c r="I25">
        <v>79</v>
      </c>
      <c r="J25">
        <v>758</v>
      </c>
      <c r="K25">
        <v>758</v>
      </c>
      <c r="L25">
        <v>0</v>
      </c>
      <c r="M25" s="8"/>
      <c r="N25">
        <v>24</v>
      </c>
      <c r="O25">
        <v>72</v>
      </c>
      <c r="P25">
        <v>2</v>
      </c>
      <c r="Q25" s="9" t="s">
        <v>137</v>
      </c>
      <c r="R25">
        <v>2</v>
      </c>
      <c r="S25" s="39">
        <v>0.62545238095238109</v>
      </c>
      <c r="T25" s="40" t="str">
        <f t="shared" si="0"/>
        <v>Medium</v>
      </c>
    </row>
    <row r="26" spans="1:20" x14ac:dyDescent="0.25">
      <c r="A26" s="9" t="s">
        <v>105</v>
      </c>
      <c r="B26" s="8">
        <v>45097</v>
      </c>
      <c r="C26" s="9" t="s">
        <v>57</v>
      </c>
      <c r="D26" s="9" t="s">
        <v>17</v>
      </c>
      <c r="E26" s="9" t="s">
        <v>58</v>
      </c>
      <c r="F26" s="9" t="s">
        <v>86</v>
      </c>
      <c r="G26" s="9" t="s">
        <v>60</v>
      </c>
      <c r="H26" s="9" t="s">
        <v>136</v>
      </c>
      <c r="I26">
        <v>149</v>
      </c>
      <c r="J26">
        <v>1430</v>
      </c>
      <c r="K26">
        <v>1430</v>
      </c>
      <c r="L26">
        <v>0</v>
      </c>
      <c r="M26" s="8"/>
      <c r="N26">
        <v>9</v>
      </c>
      <c r="O26">
        <v>59</v>
      </c>
      <c r="P26">
        <v>3</v>
      </c>
      <c r="Q26" s="9" t="s">
        <v>137</v>
      </c>
      <c r="R26">
        <v>3</v>
      </c>
      <c r="S26" s="39">
        <v>0.6216666666666667</v>
      </c>
      <c r="T26" s="40" t="str">
        <f t="shared" si="0"/>
        <v>Medium</v>
      </c>
    </row>
    <row r="27" spans="1:20" x14ac:dyDescent="0.25">
      <c r="A27" s="9" t="s">
        <v>106</v>
      </c>
      <c r="B27" s="8">
        <v>44708</v>
      </c>
      <c r="C27" s="9" t="s">
        <v>62</v>
      </c>
      <c r="D27" s="9" t="s">
        <v>18</v>
      </c>
      <c r="E27" s="9" t="s">
        <v>95</v>
      </c>
      <c r="F27" s="9" t="s">
        <v>92</v>
      </c>
      <c r="G27" s="9" t="s">
        <v>107</v>
      </c>
      <c r="H27" s="9" t="s">
        <v>135</v>
      </c>
      <c r="I27">
        <v>29</v>
      </c>
      <c r="J27">
        <v>278</v>
      </c>
      <c r="K27">
        <v>29</v>
      </c>
      <c r="L27">
        <v>0</v>
      </c>
      <c r="M27" s="8"/>
      <c r="N27">
        <v>22</v>
      </c>
      <c r="O27">
        <v>50</v>
      </c>
      <c r="P27">
        <v>1</v>
      </c>
      <c r="Q27" s="9" t="s">
        <v>137</v>
      </c>
      <c r="R27">
        <v>1</v>
      </c>
      <c r="S27" s="39">
        <v>0.61016666666666663</v>
      </c>
      <c r="T27" s="40" t="str">
        <f t="shared" si="0"/>
        <v>Medium</v>
      </c>
    </row>
    <row r="28" spans="1:20" x14ac:dyDescent="0.25">
      <c r="A28" s="9" t="s">
        <v>108</v>
      </c>
      <c r="B28" s="8">
        <v>45172</v>
      </c>
      <c r="C28" s="9" t="s">
        <v>62</v>
      </c>
      <c r="D28" s="9" t="s">
        <v>18</v>
      </c>
      <c r="E28" s="9" t="s">
        <v>63</v>
      </c>
      <c r="F28" s="9" t="s">
        <v>109</v>
      </c>
      <c r="G28" s="9" t="s">
        <v>74</v>
      </c>
      <c r="H28" s="9" t="s">
        <v>135</v>
      </c>
      <c r="I28">
        <v>29</v>
      </c>
      <c r="J28">
        <v>278</v>
      </c>
      <c r="K28">
        <v>29</v>
      </c>
      <c r="L28">
        <v>0</v>
      </c>
      <c r="M28" s="8"/>
      <c r="N28">
        <v>7</v>
      </c>
      <c r="O28">
        <v>36</v>
      </c>
      <c r="P28">
        <v>2</v>
      </c>
      <c r="Q28" s="9" t="s">
        <v>137</v>
      </c>
      <c r="R28">
        <v>2</v>
      </c>
      <c r="S28" s="39">
        <v>0.52921428571428575</v>
      </c>
      <c r="T28" s="40" t="str">
        <f t="shared" si="0"/>
        <v>Medium</v>
      </c>
    </row>
    <row r="29" spans="1:20" x14ac:dyDescent="0.25">
      <c r="A29" s="9" t="s">
        <v>110</v>
      </c>
      <c r="B29" s="8">
        <v>45142</v>
      </c>
      <c r="C29" s="9" t="s">
        <v>83</v>
      </c>
      <c r="D29" s="9" t="s">
        <v>17</v>
      </c>
      <c r="E29" s="9" t="s">
        <v>91</v>
      </c>
      <c r="F29" s="9" t="s">
        <v>92</v>
      </c>
      <c r="G29" s="9" t="s">
        <v>60</v>
      </c>
      <c r="H29" s="9" t="s">
        <v>77</v>
      </c>
      <c r="I29">
        <v>299</v>
      </c>
      <c r="J29">
        <v>2870</v>
      </c>
      <c r="K29">
        <v>2870</v>
      </c>
      <c r="L29">
        <v>0</v>
      </c>
      <c r="M29" s="8"/>
      <c r="N29">
        <v>8</v>
      </c>
      <c r="O29">
        <v>63</v>
      </c>
      <c r="P29">
        <v>3</v>
      </c>
      <c r="Q29" s="9" t="s">
        <v>137</v>
      </c>
      <c r="R29">
        <v>3</v>
      </c>
      <c r="S29" s="39">
        <v>0.52361904761904765</v>
      </c>
      <c r="T29" s="40" t="str">
        <f t="shared" si="0"/>
        <v>Medium</v>
      </c>
    </row>
    <row r="30" spans="1:20" x14ac:dyDescent="0.25">
      <c r="A30" s="9" t="s">
        <v>111</v>
      </c>
      <c r="B30" s="8">
        <v>45021</v>
      </c>
      <c r="C30" s="9" t="s">
        <v>57</v>
      </c>
      <c r="D30" s="9" t="s">
        <v>17</v>
      </c>
      <c r="E30" s="9" t="s">
        <v>95</v>
      </c>
      <c r="F30" s="9" t="s">
        <v>64</v>
      </c>
      <c r="G30" s="9" t="s">
        <v>60</v>
      </c>
      <c r="H30" s="9" t="s">
        <v>135</v>
      </c>
      <c r="I30">
        <v>149</v>
      </c>
      <c r="J30">
        <v>1430</v>
      </c>
      <c r="K30">
        <v>1430</v>
      </c>
      <c r="L30">
        <v>0</v>
      </c>
      <c r="M30" s="8"/>
      <c r="N30">
        <v>12</v>
      </c>
      <c r="O30">
        <v>62</v>
      </c>
      <c r="P30">
        <v>3</v>
      </c>
      <c r="Q30" s="9" t="s">
        <v>137</v>
      </c>
      <c r="R30">
        <v>3</v>
      </c>
      <c r="S30" s="39">
        <v>0.5197857142857143</v>
      </c>
      <c r="T30" s="40" t="str">
        <f t="shared" si="0"/>
        <v>Medium</v>
      </c>
    </row>
    <row r="31" spans="1:20" x14ac:dyDescent="0.25">
      <c r="A31" s="9" t="s">
        <v>112</v>
      </c>
      <c r="B31" s="8">
        <v>45106</v>
      </c>
      <c r="C31" s="9" t="s">
        <v>62</v>
      </c>
      <c r="D31" s="9" t="s">
        <v>17</v>
      </c>
      <c r="E31" s="9" t="s">
        <v>66</v>
      </c>
      <c r="F31" s="9" t="s">
        <v>59</v>
      </c>
      <c r="G31" s="9" t="s">
        <v>107</v>
      </c>
      <c r="H31" s="9" t="s">
        <v>135</v>
      </c>
      <c r="I31">
        <v>29</v>
      </c>
      <c r="J31">
        <v>278</v>
      </c>
      <c r="K31">
        <v>278</v>
      </c>
      <c r="L31">
        <v>0</v>
      </c>
      <c r="M31" s="8"/>
      <c r="N31">
        <v>9</v>
      </c>
      <c r="O31">
        <v>70</v>
      </c>
      <c r="P31">
        <v>2</v>
      </c>
      <c r="Q31" s="9" t="s">
        <v>137</v>
      </c>
      <c r="R31">
        <v>2</v>
      </c>
      <c r="S31" s="39">
        <v>0.51230952380952377</v>
      </c>
      <c r="T31" s="40" t="str">
        <f t="shared" si="0"/>
        <v>Medium</v>
      </c>
    </row>
    <row r="32" spans="1:20" x14ac:dyDescent="0.25">
      <c r="A32" s="9" t="s">
        <v>113</v>
      </c>
      <c r="B32" s="8">
        <v>44611</v>
      </c>
      <c r="C32" s="9" t="s">
        <v>62</v>
      </c>
      <c r="D32" s="9" t="s">
        <v>17</v>
      </c>
      <c r="E32" s="9" t="s">
        <v>58</v>
      </c>
      <c r="F32" s="9" t="s">
        <v>92</v>
      </c>
      <c r="G32" s="9" t="s">
        <v>107</v>
      </c>
      <c r="H32" s="9" t="s">
        <v>98</v>
      </c>
      <c r="I32">
        <v>29</v>
      </c>
      <c r="J32">
        <v>278</v>
      </c>
      <c r="K32">
        <v>278</v>
      </c>
      <c r="L32">
        <v>0</v>
      </c>
      <c r="M32" s="8"/>
      <c r="N32">
        <v>25</v>
      </c>
      <c r="O32">
        <v>70</v>
      </c>
      <c r="P32">
        <v>2</v>
      </c>
      <c r="Q32" s="9" t="s">
        <v>137</v>
      </c>
      <c r="R32">
        <v>2</v>
      </c>
      <c r="S32" s="39">
        <v>0.51230952380952377</v>
      </c>
      <c r="T32" s="40" t="str">
        <f t="shared" si="0"/>
        <v>Medium</v>
      </c>
    </row>
    <row r="33" spans="1:20" x14ac:dyDescent="0.25">
      <c r="A33" s="9" t="s">
        <v>114</v>
      </c>
      <c r="B33" s="8">
        <v>44948</v>
      </c>
      <c r="C33" s="9" t="s">
        <v>62</v>
      </c>
      <c r="D33" s="9" t="s">
        <v>17</v>
      </c>
      <c r="E33" s="9" t="s">
        <v>88</v>
      </c>
      <c r="F33" s="9" t="s">
        <v>92</v>
      </c>
      <c r="G33" s="9" t="s">
        <v>74</v>
      </c>
      <c r="H33" s="9" t="s">
        <v>135</v>
      </c>
      <c r="I33">
        <v>29</v>
      </c>
      <c r="J33">
        <v>278</v>
      </c>
      <c r="K33">
        <v>278</v>
      </c>
      <c r="L33">
        <v>0</v>
      </c>
      <c r="M33" s="8"/>
      <c r="N33">
        <v>14</v>
      </c>
      <c r="O33">
        <v>34</v>
      </c>
      <c r="P33">
        <v>3</v>
      </c>
      <c r="Q33" s="9" t="s">
        <v>137</v>
      </c>
      <c r="R33">
        <v>3</v>
      </c>
      <c r="S33" s="39">
        <v>0.50850000000000006</v>
      </c>
      <c r="T33" s="40" t="str">
        <f t="shared" si="0"/>
        <v>Medium</v>
      </c>
    </row>
    <row r="34" spans="1:20" x14ac:dyDescent="0.25">
      <c r="A34" s="9" t="s">
        <v>115</v>
      </c>
      <c r="B34" s="8">
        <v>44979</v>
      </c>
      <c r="C34" s="9" t="s">
        <v>73</v>
      </c>
      <c r="D34" s="9" t="s">
        <v>17</v>
      </c>
      <c r="E34" s="9" t="s">
        <v>91</v>
      </c>
      <c r="F34" s="9" t="s">
        <v>64</v>
      </c>
      <c r="G34" s="9" t="s">
        <v>71</v>
      </c>
      <c r="H34" s="9" t="s">
        <v>80</v>
      </c>
      <c r="I34">
        <v>79</v>
      </c>
      <c r="J34">
        <v>758</v>
      </c>
      <c r="K34">
        <v>758</v>
      </c>
      <c r="L34">
        <v>0</v>
      </c>
      <c r="M34" s="8"/>
      <c r="N34">
        <v>13</v>
      </c>
      <c r="O34">
        <v>79</v>
      </c>
      <c r="P34">
        <v>3</v>
      </c>
      <c r="Q34" s="9" t="s">
        <v>137</v>
      </c>
      <c r="R34">
        <v>3</v>
      </c>
      <c r="S34" s="39">
        <v>0.49730952380952381</v>
      </c>
      <c r="T34" s="40" t="str">
        <f t="shared" si="0"/>
        <v xml:space="preserve"> Low</v>
      </c>
    </row>
    <row r="35" spans="1:20" x14ac:dyDescent="0.25">
      <c r="A35" s="9" t="s">
        <v>116</v>
      </c>
      <c r="B35" s="8">
        <v>44916</v>
      </c>
      <c r="C35" s="9" t="s">
        <v>73</v>
      </c>
      <c r="D35" s="9" t="s">
        <v>18</v>
      </c>
      <c r="E35" s="9" t="s">
        <v>102</v>
      </c>
      <c r="F35" s="9" t="s">
        <v>79</v>
      </c>
      <c r="G35" s="9" t="s">
        <v>68</v>
      </c>
      <c r="H35" s="9" t="s">
        <v>136</v>
      </c>
      <c r="I35">
        <v>79</v>
      </c>
      <c r="J35">
        <v>758</v>
      </c>
      <c r="K35">
        <v>79</v>
      </c>
      <c r="L35">
        <v>0</v>
      </c>
      <c r="M35" s="8"/>
      <c r="N35">
        <v>15</v>
      </c>
      <c r="O35">
        <v>34</v>
      </c>
      <c r="P35">
        <v>2</v>
      </c>
      <c r="Q35" s="9" t="s">
        <v>137</v>
      </c>
      <c r="R35">
        <v>2</v>
      </c>
      <c r="S35" s="39">
        <v>0.48421428571428571</v>
      </c>
      <c r="T35" s="40" t="str">
        <f t="shared" si="0"/>
        <v xml:space="preserve"> Low</v>
      </c>
    </row>
    <row r="36" spans="1:20" x14ac:dyDescent="0.25">
      <c r="A36" s="9" t="s">
        <v>117</v>
      </c>
      <c r="B36" s="8">
        <v>44842</v>
      </c>
      <c r="C36" s="9" t="s">
        <v>62</v>
      </c>
      <c r="D36" s="9" t="s">
        <v>17</v>
      </c>
      <c r="E36" s="9" t="s">
        <v>88</v>
      </c>
      <c r="F36" s="9" t="s">
        <v>64</v>
      </c>
      <c r="G36" s="9" t="s">
        <v>76</v>
      </c>
      <c r="H36" s="9" t="s">
        <v>77</v>
      </c>
      <c r="I36">
        <v>29</v>
      </c>
      <c r="J36">
        <v>278</v>
      </c>
      <c r="K36">
        <v>278</v>
      </c>
      <c r="L36">
        <v>0</v>
      </c>
      <c r="M36" s="8"/>
      <c r="N36">
        <v>18</v>
      </c>
      <c r="O36">
        <v>56</v>
      </c>
      <c r="P36">
        <v>1</v>
      </c>
      <c r="Q36" s="9" t="s">
        <v>137</v>
      </c>
      <c r="R36">
        <v>1</v>
      </c>
      <c r="S36" s="39">
        <v>0.48038059163059155</v>
      </c>
      <c r="T36" s="40" t="str">
        <f>IF(S36&gt;=0.8," Critical",IF(S36&gt;=0.65,"High",IF(S36&gt;=0.5,"Medium"," Low")))</f>
        <v xml:space="preserve"> Low</v>
      </c>
    </row>
    <row r="37" spans="1:20" x14ac:dyDescent="0.25">
      <c r="A37" s="9" t="s">
        <v>118</v>
      </c>
      <c r="B37" s="8">
        <v>45059</v>
      </c>
      <c r="C37" s="9" t="s">
        <v>62</v>
      </c>
      <c r="D37" s="9" t="s">
        <v>17</v>
      </c>
      <c r="E37" s="9" t="s">
        <v>88</v>
      </c>
      <c r="F37" s="9" t="s">
        <v>79</v>
      </c>
      <c r="G37" s="9" t="s">
        <v>107</v>
      </c>
      <c r="H37" s="9" t="s">
        <v>136</v>
      </c>
      <c r="I37">
        <v>29</v>
      </c>
      <c r="J37">
        <v>278</v>
      </c>
      <c r="K37">
        <v>278</v>
      </c>
      <c r="L37">
        <v>0</v>
      </c>
      <c r="M37" s="8">
        <v>45382</v>
      </c>
      <c r="N37">
        <v>14</v>
      </c>
      <c r="O37">
        <v>56</v>
      </c>
      <c r="P37">
        <v>1</v>
      </c>
      <c r="Q37" s="9" t="s">
        <v>137</v>
      </c>
      <c r="R37">
        <v>1</v>
      </c>
      <c r="S37" s="39">
        <v>0.48038059163059155</v>
      </c>
      <c r="T37" s="40" t="str">
        <f>IF(S37&gt;=0.8," Critical",IF(S37&gt;=0.65,"High",IF(S37&gt;=0.5,"Medium"," Low")))</f>
        <v xml:space="preserve"> Low</v>
      </c>
    </row>
    <row r="38" spans="1:20" x14ac:dyDescent="0.25">
      <c r="A38" s="9" t="s">
        <v>119</v>
      </c>
      <c r="B38" s="8">
        <v>44975</v>
      </c>
      <c r="C38" s="9" t="s">
        <v>73</v>
      </c>
      <c r="D38" s="9" t="s">
        <v>17</v>
      </c>
      <c r="E38" s="9" t="s">
        <v>63</v>
      </c>
      <c r="F38" s="9" t="s">
        <v>70</v>
      </c>
      <c r="G38" s="9" t="s">
        <v>74</v>
      </c>
      <c r="H38" s="9" t="s">
        <v>98</v>
      </c>
      <c r="I38">
        <v>79</v>
      </c>
      <c r="J38">
        <v>758</v>
      </c>
      <c r="K38">
        <v>758</v>
      </c>
      <c r="L38">
        <v>0</v>
      </c>
      <c r="M38" s="8"/>
      <c r="N38">
        <v>13</v>
      </c>
      <c r="O38">
        <v>56</v>
      </c>
      <c r="P38">
        <v>1</v>
      </c>
      <c r="Q38" s="9" t="s">
        <v>137</v>
      </c>
      <c r="R38">
        <v>1</v>
      </c>
      <c r="S38" s="39">
        <v>0.48038059163059155</v>
      </c>
      <c r="T38" s="40" t="str">
        <f>IF(S38&gt;=0.8," Critical",IF(S38&gt;=0.65,"High",IF(S38&gt;=0.5,"Medium"," Low")))</f>
        <v xml:space="preserve"> Low</v>
      </c>
    </row>
    <row r="39" spans="1:20" x14ac:dyDescent="0.25">
      <c r="A39" s="9" t="s">
        <v>120</v>
      </c>
      <c r="B39" s="8">
        <v>45188</v>
      </c>
      <c r="C39" s="9" t="s">
        <v>57</v>
      </c>
      <c r="D39" s="9" t="s">
        <v>17</v>
      </c>
      <c r="E39" s="9" t="s">
        <v>88</v>
      </c>
      <c r="F39" s="9" t="s">
        <v>67</v>
      </c>
      <c r="G39" s="9" t="s">
        <v>76</v>
      </c>
      <c r="H39" s="9" t="s">
        <v>77</v>
      </c>
      <c r="I39">
        <v>149</v>
      </c>
      <c r="J39">
        <v>1430</v>
      </c>
      <c r="K39">
        <v>1430</v>
      </c>
      <c r="L39">
        <v>0</v>
      </c>
      <c r="M39" s="8"/>
      <c r="N39">
        <v>6</v>
      </c>
      <c r="O39">
        <v>66</v>
      </c>
      <c r="P39">
        <v>0</v>
      </c>
      <c r="Q39" s="9" t="s">
        <v>137</v>
      </c>
      <c r="R39">
        <v>0</v>
      </c>
      <c r="S39" s="39">
        <v>0.48002380952380963</v>
      </c>
      <c r="T39" s="40" t="str">
        <f>IF(S39&gt;=0.8," Critical",IF(S39&gt;=0.65,"High",IF(S39&gt;=0.5,"Medium"," Low")))</f>
        <v xml:space="preserve"> Low</v>
      </c>
    </row>
    <row r="40" spans="1:20" x14ac:dyDescent="0.25">
      <c r="A40" s="9" t="s">
        <v>121</v>
      </c>
      <c r="B40" s="8">
        <v>45197</v>
      </c>
      <c r="C40" s="9" t="s">
        <v>62</v>
      </c>
      <c r="D40" s="9" t="s">
        <v>17</v>
      </c>
      <c r="E40" s="9" t="s">
        <v>63</v>
      </c>
      <c r="F40" s="9" t="s">
        <v>64</v>
      </c>
      <c r="G40" s="9" t="s">
        <v>71</v>
      </c>
      <c r="H40" s="9" t="s">
        <v>136</v>
      </c>
      <c r="I40">
        <v>29</v>
      </c>
      <c r="J40">
        <v>278</v>
      </c>
      <c r="K40">
        <v>278</v>
      </c>
      <c r="L40">
        <v>0</v>
      </c>
      <c r="M40" s="8"/>
      <c r="N40">
        <v>6</v>
      </c>
      <c r="O40">
        <v>71</v>
      </c>
      <c r="P40">
        <v>0</v>
      </c>
      <c r="Q40" s="9" t="s">
        <v>137</v>
      </c>
      <c r="R40">
        <v>0</v>
      </c>
      <c r="S40" s="39">
        <v>0.47833333333333333</v>
      </c>
      <c r="T40" s="40" t="str">
        <f>IF(S40&gt;=0.8," Critical",IF(S40&gt;=0.65,"High",IF(S40&gt;=0.5,"Medium"," Low")))</f>
        <v xml:space="preserve"> Low</v>
      </c>
    </row>
    <row r="41" spans="1:20" x14ac:dyDescent="0.25">
      <c r="A41" s="9" t="s">
        <v>122</v>
      </c>
      <c r="B41" s="8">
        <v>44942</v>
      </c>
      <c r="C41" s="9" t="s">
        <v>83</v>
      </c>
      <c r="D41" s="9" t="s">
        <v>17</v>
      </c>
      <c r="E41" s="9" t="s">
        <v>66</v>
      </c>
      <c r="F41" s="9" t="s">
        <v>86</v>
      </c>
      <c r="G41" s="9" t="s">
        <v>107</v>
      </c>
      <c r="H41" s="9" t="s">
        <v>77</v>
      </c>
      <c r="I41">
        <v>299</v>
      </c>
      <c r="J41">
        <v>2870</v>
      </c>
      <c r="K41">
        <v>2870</v>
      </c>
      <c r="L41">
        <v>0</v>
      </c>
      <c r="M41" s="8"/>
      <c r="N41">
        <v>14</v>
      </c>
      <c r="O41">
        <v>71</v>
      </c>
      <c r="P41">
        <v>0</v>
      </c>
      <c r="Q41" s="9" t="s">
        <v>137</v>
      </c>
      <c r="R41">
        <v>0</v>
      </c>
      <c r="S41" s="39">
        <v>0.47833333333333333</v>
      </c>
      <c r="T41" s="40" t="str">
        <f>IF(S41&gt;=0.8," Critical",IF(S41&gt;=0.65,"High",IF(S41&gt;=0.5,"Medium"," Low")))</f>
        <v xml:space="preserve"> Low</v>
      </c>
    </row>
    <row r="42" spans="1:20" x14ac:dyDescent="0.25">
      <c r="A42" s="9" t="s">
        <v>123</v>
      </c>
      <c r="B42" s="8">
        <v>45065</v>
      </c>
      <c r="C42" s="9" t="s">
        <v>62</v>
      </c>
      <c r="D42" s="9" t="s">
        <v>17</v>
      </c>
      <c r="E42" s="9" t="s">
        <v>91</v>
      </c>
      <c r="F42" s="9" t="s">
        <v>59</v>
      </c>
      <c r="G42" s="9" t="s">
        <v>76</v>
      </c>
      <c r="H42" s="9" t="s">
        <v>77</v>
      </c>
      <c r="I42">
        <v>29</v>
      </c>
      <c r="J42">
        <v>278</v>
      </c>
      <c r="K42">
        <v>278</v>
      </c>
      <c r="L42">
        <v>0</v>
      </c>
      <c r="M42" s="8"/>
      <c r="N42">
        <v>10</v>
      </c>
      <c r="O42">
        <v>60</v>
      </c>
      <c r="P42">
        <v>1</v>
      </c>
      <c r="Q42" s="9" t="s">
        <v>137</v>
      </c>
      <c r="R42">
        <v>1</v>
      </c>
      <c r="S42" s="39">
        <v>0.46811904761904766</v>
      </c>
      <c r="T42" s="40" t="str">
        <f>IF(S42&gt;=0.8," Critical",IF(S42&gt;=0.65,"High",IF(S42&gt;=0.5,"Medium"," Low")))</f>
        <v xml:space="preserve"> Low</v>
      </c>
    </row>
    <row r="43" spans="1:20" x14ac:dyDescent="0.25">
      <c r="A43" s="9" t="s">
        <v>124</v>
      </c>
      <c r="B43" s="8">
        <v>44886</v>
      </c>
      <c r="C43" s="9" t="s">
        <v>73</v>
      </c>
      <c r="D43" s="9" t="s">
        <v>18</v>
      </c>
      <c r="E43" s="9" t="s">
        <v>58</v>
      </c>
      <c r="F43" s="9" t="s">
        <v>67</v>
      </c>
      <c r="G43" s="9" t="s">
        <v>60</v>
      </c>
      <c r="H43" s="9" t="s">
        <v>80</v>
      </c>
      <c r="I43">
        <v>79</v>
      </c>
      <c r="J43">
        <v>758</v>
      </c>
      <c r="K43">
        <v>79</v>
      </c>
      <c r="L43">
        <v>0</v>
      </c>
      <c r="M43" s="8"/>
      <c r="N43">
        <v>16</v>
      </c>
      <c r="O43">
        <v>42</v>
      </c>
      <c r="P43">
        <v>1</v>
      </c>
      <c r="Q43" s="9" t="s">
        <v>137</v>
      </c>
      <c r="R43">
        <v>1</v>
      </c>
      <c r="S43" s="39">
        <v>0.46350000000000008</v>
      </c>
      <c r="T43" s="40" t="str">
        <f>IF(S43&gt;=0.8," Critical",IF(S43&gt;=0.65,"High",IF(S43&gt;=0.5,"Medium"," Low")))</f>
        <v xml:space="preserve"> Low</v>
      </c>
    </row>
    <row r="44" spans="1:20" x14ac:dyDescent="0.25">
      <c r="A44" s="9" t="s">
        <v>125</v>
      </c>
      <c r="B44" s="8">
        <v>45113</v>
      </c>
      <c r="C44" s="9" t="s">
        <v>83</v>
      </c>
      <c r="D44" s="9" t="s">
        <v>18</v>
      </c>
      <c r="E44" s="9" t="s">
        <v>63</v>
      </c>
      <c r="F44" s="9" t="s">
        <v>92</v>
      </c>
      <c r="G44" s="9" t="s">
        <v>76</v>
      </c>
      <c r="H44" s="9" t="s">
        <v>135</v>
      </c>
      <c r="I44">
        <v>299</v>
      </c>
      <c r="J44">
        <v>2870</v>
      </c>
      <c r="K44">
        <v>299</v>
      </c>
      <c r="L44">
        <v>0</v>
      </c>
      <c r="M44" s="8"/>
      <c r="N44">
        <v>8</v>
      </c>
      <c r="O44">
        <v>42</v>
      </c>
      <c r="P44">
        <v>1</v>
      </c>
      <c r="Q44" s="9" t="s">
        <v>137</v>
      </c>
      <c r="R44">
        <v>1</v>
      </c>
      <c r="S44" s="39">
        <v>0.46350000000000008</v>
      </c>
      <c r="T44" s="40" t="str">
        <f>IF(S44&gt;=0.8," Critical",IF(S44&gt;=0.65,"High",IF(S44&gt;=0.5,"Medium"," Low")))</f>
        <v xml:space="preserve"> Low</v>
      </c>
    </row>
    <row r="45" spans="1:20" x14ac:dyDescent="0.25">
      <c r="A45" s="9" t="s">
        <v>126</v>
      </c>
      <c r="B45" s="8">
        <v>44573</v>
      </c>
      <c r="C45" s="9" t="s">
        <v>73</v>
      </c>
      <c r="D45" s="9" t="s">
        <v>18</v>
      </c>
      <c r="E45" s="9" t="s">
        <v>58</v>
      </c>
      <c r="F45" s="9" t="s">
        <v>67</v>
      </c>
      <c r="G45" s="9" t="s">
        <v>74</v>
      </c>
      <c r="H45" s="9" t="s">
        <v>136</v>
      </c>
      <c r="I45">
        <v>79</v>
      </c>
      <c r="J45">
        <v>758</v>
      </c>
      <c r="K45">
        <v>79</v>
      </c>
      <c r="L45">
        <v>0</v>
      </c>
      <c r="M45" s="8"/>
      <c r="N45">
        <v>26</v>
      </c>
      <c r="O45">
        <v>44</v>
      </c>
      <c r="P45">
        <v>1</v>
      </c>
      <c r="Q45" s="9" t="s">
        <v>137</v>
      </c>
      <c r="R45">
        <v>1</v>
      </c>
      <c r="S45" s="39">
        <v>0.4547500000000001</v>
      </c>
      <c r="T45" s="40" t="str">
        <f>IF(S45&gt;=0.8," Critical",IF(S45&gt;=0.65,"High",IF(S45&gt;=0.5,"Medium"," Low")))</f>
        <v xml:space="preserve"> Low</v>
      </c>
    </row>
    <row r="46" spans="1:20" x14ac:dyDescent="0.25">
      <c r="A46" s="9" t="s">
        <v>127</v>
      </c>
      <c r="B46" s="8">
        <v>45088</v>
      </c>
      <c r="C46" s="9" t="s">
        <v>57</v>
      </c>
      <c r="D46" s="9" t="s">
        <v>17</v>
      </c>
      <c r="E46" s="9" t="s">
        <v>91</v>
      </c>
      <c r="F46" s="9" t="s">
        <v>64</v>
      </c>
      <c r="G46" s="9" t="s">
        <v>68</v>
      </c>
      <c r="H46" s="9" t="s">
        <v>136</v>
      </c>
      <c r="I46">
        <v>149</v>
      </c>
      <c r="J46">
        <v>1430</v>
      </c>
      <c r="K46">
        <v>1430</v>
      </c>
      <c r="L46">
        <v>0</v>
      </c>
      <c r="M46" s="8"/>
      <c r="N46">
        <v>9</v>
      </c>
      <c r="O46">
        <v>69</v>
      </c>
      <c r="P46">
        <v>0</v>
      </c>
      <c r="Q46" s="9" t="s">
        <v>137</v>
      </c>
      <c r="R46">
        <v>0</v>
      </c>
      <c r="S46" s="39">
        <v>0.4471666666666666</v>
      </c>
      <c r="T46" s="40" t="str">
        <f>IF(S46&gt;=0.8," Critical",IF(S46&gt;=0.65,"High",IF(S46&gt;=0.5,"Medium"," Low")))</f>
        <v xml:space="preserve"> Low</v>
      </c>
    </row>
    <row r="47" spans="1:20" x14ac:dyDescent="0.25">
      <c r="A47" s="9" t="s">
        <v>128</v>
      </c>
      <c r="B47" s="8">
        <v>45058</v>
      </c>
      <c r="C47" s="9" t="s">
        <v>73</v>
      </c>
      <c r="D47" s="9" t="s">
        <v>18</v>
      </c>
      <c r="E47" s="9" t="s">
        <v>63</v>
      </c>
      <c r="F47" s="9" t="s">
        <v>70</v>
      </c>
      <c r="G47" s="9" t="s">
        <v>71</v>
      </c>
      <c r="H47" s="9" t="s">
        <v>98</v>
      </c>
      <c r="I47">
        <v>79</v>
      </c>
      <c r="J47">
        <v>758</v>
      </c>
      <c r="K47">
        <v>79</v>
      </c>
      <c r="L47">
        <v>0</v>
      </c>
      <c r="M47" s="8"/>
      <c r="N47">
        <v>10</v>
      </c>
      <c r="O47">
        <v>38</v>
      </c>
      <c r="P47">
        <v>2</v>
      </c>
      <c r="Q47" s="9" t="s">
        <v>137</v>
      </c>
      <c r="R47">
        <v>2</v>
      </c>
      <c r="S47" s="39">
        <v>0.44099999999999989</v>
      </c>
      <c r="T47" s="40" t="str">
        <f>IF(S47&gt;=0.8," Critical",IF(S47&gt;=0.65,"High",IF(S47&gt;=0.5,"Medium"," Low")))</f>
        <v xml:space="preserve"> Low</v>
      </c>
    </row>
    <row r="48" spans="1:20" x14ac:dyDescent="0.25">
      <c r="A48" s="9" t="s">
        <v>129</v>
      </c>
      <c r="B48" s="8">
        <v>45093</v>
      </c>
      <c r="C48" s="9" t="s">
        <v>73</v>
      </c>
      <c r="D48" s="9" t="s">
        <v>17</v>
      </c>
      <c r="E48" s="9" t="s">
        <v>91</v>
      </c>
      <c r="F48" s="9" t="s">
        <v>86</v>
      </c>
      <c r="G48" s="9" t="s">
        <v>60</v>
      </c>
      <c r="H48" s="9" t="s">
        <v>77</v>
      </c>
      <c r="I48">
        <v>79</v>
      </c>
      <c r="J48">
        <v>758</v>
      </c>
      <c r="K48">
        <v>758</v>
      </c>
      <c r="L48">
        <v>0</v>
      </c>
      <c r="M48" s="8"/>
      <c r="N48">
        <v>9</v>
      </c>
      <c r="O48">
        <v>61</v>
      </c>
      <c r="P48">
        <v>1</v>
      </c>
      <c r="Q48" s="9" t="s">
        <v>137</v>
      </c>
      <c r="R48">
        <v>1</v>
      </c>
      <c r="S48" s="39">
        <v>0.43733333333333335</v>
      </c>
      <c r="T48" s="40" t="str">
        <f>IF(S48&gt;=0.8," Critical",IF(S48&gt;=0.65,"High",IF(S48&gt;=0.5,"Medium"," Low")))</f>
        <v xml:space="preserve"> Low</v>
      </c>
    </row>
    <row r="49" spans="1:20" x14ac:dyDescent="0.25">
      <c r="A49" s="9" t="s">
        <v>130</v>
      </c>
      <c r="B49" s="8">
        <v>44984</v>
      </c>
      <c r="C49" s="9" t="s">
        <v>57</v>
      </c>
      <c r="D49" s="9" t="s">
        <v>17</v>
      </c>
      <c r="E49" s="9" t="s">
        <v>104</v>
      </c>
      <c r="F49" s="9" t="s">
        <v>70</v>
      </c>
      <c r="G49" s="9" t="s">
        <v>60</v>
      </c>
      <c r="H49" s="9" t="s">
        <v>77</v>
      </c>
      <c r="I49">
        <v>149</v>
      </c>
      <c r="J49">
        <v>1430</v>
      </c>
      <c r="K49">
        <v>1430</v>
      </c>
      <c r="L49">
        <v>0</v>
      </c>
      <c r="M49" s="8"/>
      <c r="N49">
        <v>13</v>
      </c>
      <c r="O49">
        <v>72</v>
      </c>
      <c r="P49">
        <v>0</v>
      </c>
      <c r="Q49" s="9" t="s">
        <v>137</v>
      </c>
      <c r="R49">
        <v>0</v>
      </c>
      <c r="S49" s="39">
        <v>0.4303333333333334</v>
      </c>
      <c r="T49" s="40" t="str">
        <f>IF(S49&gt;=0.8," Critical",IF(S49&gt;=0.65,"High",IF(S49&gt;=0.5,"Medium"," Low")))</f>
        <v xml:space="preserve"> Low</v>
      </c>
    </row>
    <row r="50" spans="1:20" x14ac:dyDescent="0.25">
      <c r="A50" s="9" t="s">
        <v>131</v>
      </c>
      <c r="B50" s="8">
        <v>44746</v>
      </c>
      <c r="C50" s="9" t="s">
        <v>83</v>
      </c>
      <c r="D50" s="9" t="s">
        <v>17</v>
      </c>
      <c r="E50" s="9" t="s">
        <v>91</v>
      </c>
      <c r="F50" s="9" t="s">
        <v>64</v>
      </c>
      <c r="G50" s="9" t="s">
        <v>71</v>
      </c>
      <c r="H50" s="9" t="s">
        <v>136</v>
      </c>
      <c r="I50">
        <v>299</v>
      </c>
      <c r="J50">
        <v>2870</v>
      </c>
      <c r="K50">
        <v>2870</v>
      </c>
      <c r="L50">
        <v>0</v>
      </c>
      <c r="M50" s="8"/>
      <c r="N50">
        <v>21</v>
      </c>
      <c r="O50">
        <v>56</v>
      </c>
      <c r="P50">
        <v>0</v>
      </c>
      <c r="Q50" s="9" t="s">
        <v>137</v>
      </c>
      <c r="R50">
        <v>0</v>
      </c>
      <c r="S50" s="39">
        <v>0.42766666666666664</v>
      </c>
      <c r="T50" s="40" t="str">
        <f>IF(S50&gt;=0.8," Critical",IF(S50&gt;=0.65,"High",IF(S50&gt;=0.5,"Medium"," Low")))</f>
        <v xml:space="preserve"> Low</v>
      </c>
    </row>
    <row r="51" spans="1:20" x14ac:dyDescent="0.25">
      <c r="A51" s="9" t="s">
        <v>132</v>
      </c>
      <c r="B51" s="8">
        <v>44714</v>
      </c>
      <c r="C51" s="9" t="s">
        <v>73</v>
      </c>
      <c r="D51" s="9" t="s">
        <v>18</v>
      </c>
      <c r="E51" s="9" t="s">
        <v>91</v>
      </c>
      <c r="F51" s="9" t="s">
        <v>79</v>
      </c>
      <c r="G51" s="9" t="s">
        <v>107</v>
      </c>
      <c r="H51" s="9" t="s">
        <v>136</v>
      </c>
      <c r="I51">
        <v>79</v>
      </c>
      <c r="J51">
        <v>758</v>
      </c>
      <c r="K51">
        <v>79</v>
      </c>
      <c r="L51">
        <v>0</v>
      </c>
      <c r="M51" s="8"/>
      <c r="N51">
        <v>22</v>
      </c>
      <c r="O51">
        <v>51</v>
      </c>
      <c r="P51">
        <v>3</v>
      </c>
      <c r="Q51" s="9" t="s">
        <v>137</v>
      </c>
      <c r="R51">
        <v>3</v>
      </c>
      <c r="S51" s="39">
        <v>0.42725000000000002</v>
      </c>
      <c r="T51" s="40" t="str">
        <f>IF(S51&gt;=0.8," Critical",IF(S51&gt;=0.65,"High",IF(S51&gt;=0.5,"Medium"," Low")))</f>
        <v xml:space="preserve"> Low</v>
      </c>
    </row>
    <row r="52" spans="1:20" x14ac:dyDescent="0.25">
      <c r="A52" s="9" t="s">
        <v>133</v>
      </c>
      <c r="B52" s="8">
        <v>44576</v>
      </c>
      <c r="C52" s="9" t="s">
        <v>73</v>
      </c>
      <c r="D52" s="9" t="s">
        <v>17</v>
      </c>
      <c r="E52" s="9" t="s">
        <v>88</v>
      </c>
      <c r="F52" s="9" t="s">
        <v>86</v>
      </c>
      <c r="G52" s="9" t="s">
        <v>60</v>
      </c>
      <c r="H52" s="9" t="s">
        <v>80</v>
      </c>
      <c r="I52">
        <v>79</v>
      </c>
      <c r="J52">
        <v>758</v>
      </c>
      <c r="K52">
        <v>758</v>
      </c>
      <c r="L52">
        <v>0</v>
      </c>
      <c r="M52" s="8"/>
      <c r="N52">
        <v>26</v>
      </c>
      <c r="O52">
        <v>70</v>
      </c>
      <c r="P52">
        <v>0</v>
      </c>
      <c r="Q52" s="9" t="s">
        <v>137</v>
      </c>
      <c r="R52">
        <v>0</v>
      </c>
      <c r="S52" s="39">
        <v>0.423080808080808</v>
      </c>
      <c r="T52" s="40" t="str">
        <f>IF(S52&gt;=0.8," Critical",IF(S52&gt;=0.65,"High",IF(S52&gt;=0.5,"Medium"," Low")))</f>
        <v xml:space="preserve"> Low</v>
      </c>
    </row>
  </sheetData>
  <mergeCells count="2">
    <mergeCell ref="A1:T1"/>
    <mergeCell ref="A2:T2"/>
  </mergeCells>
  <phoneticPr fontId="2" type="noConversion"/>
  <conditionalFormatting sqref="O54:O1048576 O3:O52">
    <cfRule type="colorScale" priority="3">
      <colorScale>
        <cfvo type="min"/>
        <cfvo type="max"/>
        <color rgb="FFFF0000"/>
        <color rgb="FF00B050"/>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8793D2-2853-4A94-BCB0-ACBBDD995D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Revenue Trends</vt:lpstr>
      <vt:lpstr>Churn Deep Dive</vt:lpstr>
      <vt:lpstr>Predictive Risk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enoch</dc:creator>
  <cp:lastModifiedBy>kelvin enoch</cp:lastModifiedBy>
  <dcterms:created xsi:type="dcterms:W3CDTF">2026-04-30T14:00:42Z</dcterms:created>
  <dcterms:modified xsi:type="dcterms:W3CDTF">2026-05-12T22:55:05Z</dcterms:modified>
</cp:coreProperties>
</file>